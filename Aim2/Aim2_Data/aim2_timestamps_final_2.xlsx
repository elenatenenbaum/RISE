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g/Documents/RISE_7_12/Aim2/Aim2_Data/"/>
    </mc:Choice>
  </mc:AlternateContent>
  <xr:revisionPtr revIDLastSave="0" documentId="13_ncr:1_{8E55C8DC-F673-1E46-B96E-144A508C7F6D}" xr6:coauthVersionLast="47" xr6:coauthVersionMax="47" xr10:uidLastSave="{00000000-0000-0000-0000-000000000000}"/>
  <bookViews>
    <workbookView xWindow="580" yWindow="1440" windowWidth="28220" windowHeight="16180" activeTab="5" xr2:uid="{1905D5AD-B59A-4349-BC54-AD7B07C29ACC}"/>
  </bookViews>
  <sheets>
    <sheet name="GeoSocial" sheetId="1" r:id="rId1"/>
    <sheet name="AVSynch" sheetId="2" r:id="rId2"/>
    <sheet name="Prediction" sheetId="5" r:id="rId3"/>
    <sheet name="VPC" sheetId="3" r:id="rId4"/>
    <sheet name="WordRecognition" sheetId="6" r:id="rId5"/>
    <sheet name="WordRecognition_Timecourse" sheetId="8" r:id="rId6"/>
    <sheet name="Numeracy" sheetId="4" r:id="rId7"/>
    <sheet name="HelperHinderer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8" l="1"/>
  <c r="A13" i="8" s="1"/>
  <c r="A14" i="8" s="1"/>
  <c r="A15" i="8" s="1"/>
  <c r="A16" i="8" s="1"/>
  <c r="A17" i="8" s="1"/>
  <c r="A18" i="8" s="1"/>
  <c r="A19" i="8" s="1"/>
  <c r="A20" i="8" s="1"/>
  <c r="A21" i="8" s="1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2" i="7"/>
  <c r="G85" i="3" l="1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H2" i="3"/>
  <c r="G2" i="3"/>
  <c r="A12" i="6"/>
  <c r="A13" i="6" s="1"/>
  <c r="A14" i="6" s="1"/>
  <c r="A15" i="6" s="1"/>
  <c r="A16" i="6" s="1"/>
  <c r="A17" i="6" s="1"/>
  <c r="A18" i="6" s="1"/>
  <c r="A19" i="6" s="1"/>
  <c r="A20" i="6" s="1"/>
  <c r="A21" i="6" s="1"/>
  <c r="H3" i="5"/>
  <c r="I3" i="5" s="1"/>
  <c r="H4" i="5"/>
  <c r="J4" i="5" s="1"/>
  <c r="H5" i="5"/>
  <c r="I5" i="5" s="1"/>
  <c r="H6" i="5"/>
  <c r="I6" i="5" s="1"/>
  <c r="H7" i="5"/>
  <c r="J7" i="5" s="1"/>
  <c r="H8" i="5"/>
  <c r="J8" i="5" s="1"/>
  <c r="H9" i="5"/>
  <c r="H10" i="5"/>
  <c r="J10" i="5" s="1"/>
  <c r="H11" i="5"/>
  <c r="I11" i="5" s="1"/>
  <c r="H12" i="5"/>
  <c r="J12" i="5" s="1"/>
  <c r="H13" i="5"/>
  <c r="I13" i="5" s="1"/>
  <c r="H14" i="5"/>
  <c r="J14" i="5" s="1"/>
  <c r="H15" i="5"/>
  <c r="J15" i="5" s="1"/>
  <c r="H16" i="5"/>
  <c r="J16" i="5" s="1"/>
  <c r="H17" i="5"/>
  <c r="J17" i="5" s="1"/>
  <c r="H2" i="5"/>
  <c r="I2" i="5" s="1"/>
  <c r="J9" i="5"/>
  <c r="J3" i="5"/>
  <c r="J13" i="5"/>
  <c r="F3" i="2"/>
  <c r="F4" i="2"/>
  <c r="F5" i="2"/>
  <c r="F6" i="2"/>
  <c r="F7" i="2"/>
  <c r="F2" i="2"/>
  <c r="E3" i="2"/>
  <c r="E4" i="2"/>
  <c r="E5" i="2"/>
  <c r="E6" i="2"/>
  <c r="E7" i="2"/>
  <c r="E2" i="2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F2" i="1"/>
  <c r="E2" i="1"/>
  <c r="J2" i="5" l="1"/>
  <c r="I4" i="5"/>
  <c r="I12" i="5"/>
  <c r="I16" i="5"/>
  <c r="I15" i="5"/>
  <c r="I14" i="5"/>
  <c r="J5" i="5"/>
  <c r="I9" i="5"/>
  <c r="I10" i="5"/>
  <c r="J6" i="5"/>
  <c r="I7" i="5"/>
  <c r="I8" i="5"/>
  <c r="J11" i="5"/>
  <c r="I17" i="5"/>
</calcChain>
</file>

<file path=xl/sharedStrings.xml><?xml version="1.0" encoding="utf-8"?>
<sst xmlns="http://schemas.openxmlformats.org/spreadsheetml/2006/main" count="1414" uniqueCount="289">
  <si>
    <t>Frame Start</t>
  </si>
  <si>
    <t>Frame End</t>
  </si>
  <si>
    <t>Trial Number</t>
  </si>
  <si>
    <t>Position</t>
  </si>
  <si>
    <t>Time start</t>
  </si>
  <si>
    <t>right</t>
  </si>
  <si>
    <t>left</t>
  </si>
  <si>
    <t>VPCV1</t>
  </si>
  <si>
    <t>VPCV2</t>
  </si>
  <si>
    <t>VPCV3</t>
  </si>
  <si>
    <t>VPCV4</t>
  </si>
  <si>
    <t>VPCV5</t>
  </si>
  <si>
    <t>VPCV6</t>
  </si>
  <si>
    <t>VPCV7</t>
  </si>
  <si>
    <t>VPCV8</t>
  </si>
  <si>
    <t>Social</t>
  </si>
  <si>
    <t>Non-social</t>
  </si>
  <si>
    <t>Onset frame</t>
  </si>
  <si>
    <t>Time stop</t>
  </si>
  <si>
    <t>00:00:06:07</t>
  </si>
  <si>
    <t>00:00:19:16</t>
  </si>
  <si>
    <t>00:00:22:16</t>
  </si>
  <si>
    <t>00:00:35:24</t>
  </si>
  <si>
    <t>00:00:38:25</t>
  </si>
  <si>
    <t>00:00:52:04</t>
  </si>
  <si>
    <t>00:00:55:06</t>
  </si>
  <si>
    <t>00:01:08:15</t>
  </si>
  <si>
    <t>00:01:11:17</t>
  </si>
  <si>
    <t>00:01:24:26</t>
  </si>
  <si>
    <t>00:01:27:29</t>
  </si>
  <si>
    <t>00:01:41:08</t>
  </si>
  <si>
    <t>Timestart frames</t>
  </si>
  <si>
    <t>Timestop frames</t>
  </si>
  <si>
    <t>00:00:37:48</t>
  </si>
  <si>
    <t>00:00:45:47</t>
  </si>
  <si>
    <t>00:00:47:20</t>
  </si>
  <si>
    <t>00:00:55:19</t>
  </si>
  <si>
    <t>00:01:25:54</t>
  </si>
  <si>
    <t>00:01:33:53</t>
  </si>
  <si>
    <t>00:01:35:28</t>
  </si>
  <si>
    <t>00:01:43:27</t>
  </si>
  <si>
    <t>00:02:13:56</t>
  </si>
  <si>
    <t>00:02:21:55</t>
  </si>
  <si>
    <t>00:02:23:30</t>
  </si>
  <si>
    <t>00:02:31:29</t>
  </si>
  <si>
    <t>00:03:02:04</t>
  </si>
  <si>
    <t>00:03:10:03</t>
  </si>
  <si>
    <t>00:03:11:38</t>
  </si>
  <si>
    <t>00:03:19:38</t>
  </si>
  <si>
    <t>00:03:50:06</t>
  </si>
  <si>
    <t>00:03:58:05</t>
  </si>
  <si>
    <t>00:03:59:36</t>
  </si>
  <si>
    <t>00:04:07:35</t>
  </si>
  <si>
    <t>00:04:38:06</t>
  </si>
  <si>
    <t>00:04:46:05</t>
  </si>
  <si>
    <t>00:04:47:36</t>
  </si>
  <si>
    <t>00:04:55:35</t>
  </si>
  <si>
    <t>different left</t>
  </si>
  <si>
    <t>different right</t>
  </si>
  <si>
    <t>Foot left, milk right</t>
  </si>
  <si>
    <t>"look at the foot"</t>
  </si>
  <si>
    <t>banana left, hair right</t>
  </si>
  <si>
    <t>"look at the hair"</t>
  </si>
  <si>
    <t>hand left, yogurt right</t>
  </si>
  <si>
    <t>"can you find the hand"</t>
  </si>
  <si>
    <t>eyes left, cookie right</t>
  </si>
  <si>
    <t>"where's the cookie"</t>
  </si>
  <si>
    <t>mouth left, apple right</t>
  </si>
  <si>
    <t>"where's the mouth"</t>
  </si>
  <si>
    <t>Audio</t>
  </si>
  <si>
    <t>Image</t>
  </si>
  <si>
    <t>"look at the banana"</t>
  </si>
  <si>
    <t>"can you find the apple"</t>
  </si>
  <si>
    <t>"can you find the yogurt"</t>
  </si>
  <si>
    <t>"look at the milk"</t>
  </si>
  <si>
    <t>"where's the eyes"</t>
  </si>
  <si>
    <t>Version</t>
  </si>
  <si>
    <t>Stimulus type</t>
  </si>
  <si>
    <t>Start time</t>
  </si>
  <si>
    <t>End time</t>
  </si>
  <si>
    <t>00:01:25:56</t>
  </si>
  <si>
    <t>00:01:33:55</t>
  </si>
  <si>
    <t>00:02:14:04</t>
  </si>
  <si>
    <t>00:02:22:03</t>
  </si>
  <si>
    <t>00:02:23:38</t>
  </si>
  <si>
    <t>00:02:31:37</t>
  </si>
  <si>
    <t>00:03:02:16</t>
  </si>
  <si>
    <t>00:03:10:15</t>
  </si>
  <si>
    <t>00:03:11:50</t>
  </si>
  <si>
    <t>00:03:19:49</t>
  </si>
  <si>
    <t>00:03:50:26</t>
  </si>
  <si>
    <t>00:03:58:25</t>
  </si>
  <si>
    <t>00:04:00:00</t>
  </si>
  <si>
    <t>00:04:07:59</t>
  </si>
  <si>
    <t>00:04:38:34</t>
  </si>
  <si>
    <t>00:04:46:33</t>
  </si>
  <si>
    <t>00:04:47:38</t>
  </si>
  <si>
    <t>00:04:55:37</t>
  </si>
  <si>
    <t>00:00:37:42</t>
  </si>
  <si>
    <t>00:00:45:41</t>
  </si>
  <si>
    <t>00:00:47:14</t>
  </si>
  <si>
    <t>00:00:55:13</t>
  </si>
  <si>
    <t>00:01:25:48</t>
  </si>
  <si>
    <t>00:01:33:47</t>
  </si>
  <si>
    <t>00:01:35:22</t>
  </si>
  <si>
    <t>00:01:43:21</t>
  </si>
  <si>
    <t>00:02:13:54</t>
  </si>
  <si>
    <t>00:02:21:53</t>
  </si>
  <si>
    <t>00:02:23:26</t>
  </si>
  <si>
    <t>00:02:31:25</t>
  </si>
  <si>
    <t>00:03:01:58</t>
  </si>
  <si>
    <t>00:03:09:57</t>
  </si>
  <si>
    <t>00:03:11:32</t>
  </si>
  <si>
    <t>00:03:19:31</t>
  </si>
  <si>
    <t>00:03:50:04</t>
  </si>
  <si>
    <t>00:03:58:03</t>
  </si>
  <si>
    <t>00:00:37:52</t>
  </si>
  <si>
    <t>00:00:45:51</t>
  </si>
  <si>
    <t>00:00:47:24</t>
  </si>
  <si>
    <t>00:00:55:23</t>
  </si>
  <si>
    <t>00:01:25:58</t>
  </si>
  <si>
    <t>00:01:33:57</t>
  </si>
  <si>
    <t>00:01:35:30</t>
  </si>
  <si>
    <t>00:01:43:29</t>
  </si>
  <si>
    <t>00:02:14:02</t>
  </si>
  <si>
    <t>00:02:22:01</t>
  </si>
  <si>
    <t>00:02:23:36</t>
  </si>
  <si>
    <t>00:02:31:35</t>
  </si>
  <si>
    <t>00:03:59:58</t>
  </si>
  <si>
    <t>00:04:07:57</t>
  </si>
  <si>
    <t>00:00:37:46</t>
  </si>
  <si>
    <t>00:00:45:45</t>
  </si>
  <si>
    <t>00:00:47:18</t>
  </si>
  <si>
    <t>00:00:55:17</t>
  </si>
  <si>
    <t>00:01:25:50</t>
  </si>
  <si>
    <t>00:01:33:49</t>
  </si>
  <si>
    <t>00:02:13:52</t>
  </si>
  <si>
    <t>00:02:21:51</t>
  </si>
  <si>
    <t>00:02:23:24</t>
  </si>
  <si>
    <t>00:02:31:23</t>
  </si>
  <si>
    <t>00:03:01:54</t>
  </si>
  <si>
    <t>00:03:09:53</t>
  </si>
  <si>
    <t>00:03:11:24</t>
  </si>
  <si>
    <t>00:03:19:23</t>
  </si>
  <si>
    <t>00:03:49:56</t>
  </si>
  <si>
    <t>00:03:57:55</t>
  </si>
  <si>
    <t>00:03:59:28</t>
  </si>
  <si>
    <t>00:04:07:27</t>
  </si>
  <si>
    <t>00:04:37:58</t>
  </si>
  <si>
    <t>00:04:45:58</t>
  </si>
  <si>
    <t>00:04:47:28</t>
  </si>
  <si>
    <t>00:04:55:27</t>
  </si>
  <si>
    <t>00:03:01:30</t>
  </si>
  <si>
    <t>00:03:09:29</t>
  </si>
  <si>
    <t>00:03:11:04</t>
  </si>
  <si>
    <t>00:03:19:03</t>
  </si>
  <si>
    <t>00:03:49:34</t>
  </si>
  <si>
    <t>00:03:57:33</t>
  </si>
  <si>
    <t>00:03:59:06</t>
  </si>
  <si>
    <t>00:04:07:05</t>
  </si>
  <si>
    <t>00:04:37:38</t>
  </si>
  <si>
    <t>00:04:45:37</t>
  </si>
  <si>
    <t>00:04:47:10</t>
  </si>
  <si>
    <t>00:04:55:09</t>
  </si>
  <si>
    <t>00:00:37:50</t>
  </si>
  <si>
    <t>00:00:45:49</t>
  </si>
  <si>
    <t>00:00:47:22</t>
  </si>
  <si>
    <t>00:00:55:21</t>
  </si>
  <si>
    <t>00:01:35:26</t>
  </si>
  <si>
    <t>00:01:43:25</t>
  </si>
  <si>
    <t>00:03:02:08</t>
  </si>
  <si>
    <t>00:03:10:07</t>
  </si>
  <si>
    <t>00:03:11:40</t>
  </si>
  <si>
    <t>00:03:19:39</t>
  </si>
  <si>
    <t>00:03:50:14</t>
  </si>
  <si>
    <t>00:03:58:13</t>
  </si>
  <si>
    <t>00:03:59:46</t>
  </si>
  <si>
    <t>00:04:07:45</t>
  </si>
  <si>
    <t>00:04:38:16</t>
  </si>
  <si>
    <t>00:04:46:15</t>
  </si>
  <si>
    <t>00:04:47:48</t>
  </si>
  <si>
    <t>00:04:55:47</t>
  </si>
  <si>
    <t>00:01:26:00</t>
  </si>
  <si>
    <t>00:01:33:59</t>
  </si>
  <si>
    <t>00:01:35:32</t>
  </si>
  <si>
    <t>00:01:43:31</t>
  </si>
  <si>
    <t>00:02:14:10</t>
  </si>
  <si>
    <t>00:02:22:09</t>
  </si>
  <si>
    <t>00:02:23:42</t>
  </si>
  <si>
    <t>00:02:31:41</t>
  </si>
  <si>
    <t>00:03:02:20</t>
  </si>
  <si>
    <t>00:03:10:19</t>
  </si>
  <si>
    <t>00:03:11:52</t>
  </si>
  <si>
    <t>00:03:19:51</t>
  </si>
  <si>
    <t>00:03:50:24</t>
  </si>
  <si>
    <t>00:03:58:23</t>
  </si>
  <si>
    <t>00:03:59:56</t>
  </si>
  <si>
    <t>00:04:07:55</t>
  </si>
  <si>
    <t>00:04:38:26</t>
  </si>
  <si>
    <t>00:04:46:25</t>
  </si>
  <si>
    <t>00:04:47:58</t>
  </si>
  <si>
    <t>00:04:55:57</t>
  </si>
  <si>
    <t>PredictionTargetLthenR</t>
  </si>
  <si>
    <t>PredictionTargetRthenL</t>
  </si>
  <si>
    <t>Start Time</t>
  </si>
  <si>
    <t>00:00:06:02</t>
  </si>
  <si>
    <t>00:00:26:35</t>
  </si>
  <si>
    <t>00:00:32:38</t>
  </si>
  <si>
    <t>00:00:53:11</t>
  </si>
  <si>
    <t>00:01:01:48</t>
  </si>
  <si>
    <t>00:01:19:47</t>
  </si>
  <si>
    <t>00:01:26:40</t>
  </si>
  <si>
    <t>00:01:46:03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</si>
  <si>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</si>
  <si>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</si>
  <si>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</si>
  <si>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</si>
  <si>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</si>
  <si>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</si>
  <si>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</si>
  <si>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</si>
  <si>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</si>
  <si>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</si>
  <si>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</si>
  <si>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</si>
  <si>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Numeracy5cr</t>
  </si>
  <si>
    <t>Small Constant</t>
  </si>
  <si>
    <t>Alternating Left</t>
  </si>
  <si>
    <t>Alternating Right</t>
  </si>
  <si>
    <t>Numeracy5cl</t>
  </si>
  <si>
    <t>Numeracy20cr</t>
  </si>
  <si>
    <t>Large Constant</t>
  </si>
  <si>
    <t>Numeracy20cl</t>
  </si>
  <si>
    <t>Altetrnating Right</t>
  </si>
  <si>
    <t>End Time</t>
  </si>
  <si>
    <t>Time Start</t>
  </si>
  <si>
    <t>Time End</t>
  </si>
  <si>
    <t>condition1</t>
  </si>
  <si>
    <t>Blue Help</t>
  </si>
  <si>
    <t>00:00:05:36</t>
  </si>
  <si>
    <t>00:00:27:36</t>
  </si>
  <si>
    <t>Yellow hinder</t>
  </si>
  <si>
    <t>00:00:29:36</t>
  </si>
  <si>
    <t>00:00:51:30</t>
  </si>
  <si>
    <t>Blue help</t>
  </si>
  <si>
    <t>00:00:53:30</t>
  </si>
  <si>
    <t>00:01:15:23</t>
  </si>
  <si>
    <t>00:01:17:23</t>
  </si>
  <si>
    <t>00:01:39:16</t>
  </si>
  <si>
    <t>00:01:41:17</t>
  </si>
  <si>
    <t>00:02:03:10</t>
  </si>
  <si>
    <t>00:02:05:10</t>
  </si>
  <si>
    <t>00:02:27:03</t>
  </si>
  <si>
    <t>00:02:29:03</t>
  </si>
  <si>
    <t>00:02:59:03</t>
  </si>
  <si>
    <t>00:03:01:03</t>
  </si>
  <si>
    <t>00:03:22:57</t>
  </si>
  <si>
    <t>00:03:24:57</t>
  </si>
  <si>
    <t>00:03:46:50</t>
  </si>
  <si>
    <t>00:03:48:49</t>
  </si>
  <si>
    <t>00:04:10:43</t>
  </si>
  <si>
    <t>00:04:12:43</t>
  </si>
  <si>
    <t>00:04:34:36</t>
  </si>
  <si>
    <t>00:04:36:36</t>
  </si>
  <si>
    <t>00:04:58:29</t>
  </si>
  <si>
    <t>00:05:00:30</t>
  </si>
  <si>
    <t>00:05:22:23</t>
  </si>
  <si>
    <t>00:05:24:23</t>
  </si>
  <si>
    <t>00:05:54:22</t>
  </si>
  <si>
    <t>condition2</t>
  </si>
  <si>
    <t>condition3</t>
  </si>
  <si>
    <t>Yellow Hinder</t>
  </si>
  <si>
    <t>condition4</t>
  </si>
  <si>
    <t>condition5</t>
  </si>
  <si>
    <t>Yellow Help</t>
  </si>
  <si>
    <t>Blue Hinder</t>
  </si>
  <si>
    <t>condition6</t>
  </si>
  <si>
    <t>condition7</t>
  </si>
  <si>
    <t>condition8</t>
  </si>
  <si>
    <t>Full Label</t>
  </si>
  <si>
    <t>Blue left, yellow right</t>
  </si>
  <si>
    <t>yellow left, blue right</t>
  </si>
  <si>
    <t>Blue right, yellow left</t>
  </si>
  <si>
    <t>Blue right yellow left</t>
  </si>
  <si>
    <t>Yellow left, blue right</t>
  </si>
  <si>
    <t>blue left, yellow right</t>
  </si>
  <si>
    <t xml:space="preserve"> Frame End</t>
  </si>
  <si>
    <t>sentence_onset_frame</t>
  </si>
  <si>
    <t>target_word_onset_frame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</si>
</sst>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Lucida Grande"/>
      <family val="2"/>
    </font>
    <font>
      <sz val="12"/>
      <color rgb="FF000000"/>
      <name val="Aptos Narrow (Body)"/>
    </font>
    <font>
      <sz val="12"/>
      <color theme="1"/>
      <name val="Aptos Narrow (Body)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0" fontId="0" fillId="0" borderId="0" xfId="0" applyNumberForma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FD97-6B63-2843-8E5A-12061CB0C7C4}">
  <dimension ref="A1:F11"/>
  <sheetViews>
    <sheetView workbookViewId="0">
      <selection activeCell="E2" sqref="E2"/>
    </sheetView>
  </sheetViews>
  <sheetFormatPr baseColWidth="10" defaultRowHeight="16" x14ac:dyDescent="0.2"/>
  <cols>
    <col min="1" max="2" width="19.5" customWidth="1"/>
    <col min="3" max="3" width="23.1640625" customWidth="1"/>
    <col min="4" max="4" width="17.6640625" customWidth="1"/>
    <col min="5" max="5" width="17.33203125" customWidth="1"/>
    <col min="6" max="6" width="15.5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18</v>
      </c>
      <c r="E1" t="s">
        <v>0</v>
      </c>
      <c r="F1" t="s">
        <v>1</v>
      </c>
    </row>
    <row r="2" spans="1:6" x14ac:dyDescent="0.2">
      <c r="A2">
        <v>1</v>
      </c>
      <c r="B2" s="1" t="s">
        <v>5</v>
      </c>
      <c r="C2">
        <v>6.0179999999999998</v>
      </c>
      <c r="D2">
        <v>10.948</v>
      </c>
      <c r="E2">
        <f>ROUND(C2*30,0)</f>
        <v>181</v>
      </c>
      <c r="F2">
        <f>ROUND(D2*30,0)</f>
        <v>328</v>
      </c>
    </row>
    <row r="3" spans="1:6" x14ac:dyDescent="0.2">
      <c r="A3">
        <v>2</v>
      </c>
      <c r="B3" s="1" t="s">
        <v>6</v>
      </c>
      <c r="C3">
        <v>11.016</v>
      </c>
      <c r="D3">
        <v>16.013999999999999</v>
      </c>
      <c r="E3">
        <f t="shared" ref="E3:E11" si="0">ROUND(C3*30,0)</f>
        <v>330</v>
      </c>
      <c r="F3">
        <f t="shared" ref="F3:F11" si="1">ROUND(D3*30,0)</f>
        <v>480</v>
      </c>
    </row>
    <row r="4" spans="1:6" x14ac:dyDescent="0.2">
      <c r="A4">
        <v>3</v>
      </c>
      <c r="B4" s="1" t="s">
        <v>6</v>
      </c>
      <c r="C4">
        <v>16.047999999999998</v>
      </c>
      <c r="D4">
        <v>21.012</v>
      </c>
      <c r="E4">
        <f t="shared" si="0"/>
        <v>481</v>
      </c>
      <c r="F4">
        <f t="shared" si="1"/>
        <v>630</v>
      </c>
    </row>
    <row r="5" spans="1:6" x14ac:dyDescent="0.2">
      <c r="A5">
        <v>4</v>
      </c>
      <c r="B5" s="1" t="s">
        <v>5</v>
      </c>
      <c r="C5">
        <v>21.08</v>
      </c>
      <c r="D5">
        <v>26.01</v>
      </c>
      <c r="E5">
        <f t="shared" si="0"/>
        <v>632</v>
      </c>
      <c r="F5">
        <f t="shared" si="1"/>
        <v>780</v>
      </c>
    </row>
    <row r="6" spans="1:6" x14ac:dyDescent="0.2">
      <c r="A6">
        <v>5</v>
      </c>
      <c r="B6" s="1" t="s">
        <v>5</v>
      </c>
      <c r="C6">
        <v>26.044</v>
      </c>
      <c r="D6">
        <v>30.974</v>
      </c>
      <c r="E6">
        <f t="shared" si="0"/>
        <v>781</v>
      </c>
      <c r="F6">
        <f t="shared" si="1"/>
        <v>929</v>
      </c>
    </row>
    <row r="7" spans="1:6" x14ac:dyDescent="0.2">
      <c r="A7">
        <v>6</v>
      </c>
      <c r="B7" s="1" t="s">
        <v>6</v>
      </c>
      <c r="C7">
        <v>31.007999999999999</v>
      </c>
      <c r="D7">
        <v>36.073999999999998</v>
      </c>
      <c r="E7">
        <f t="shared" si="0"/>
        <v>930</v>
      </c>
      <c r="F7">
        <f t="shared" si="1"/>
        <v>1082</v>
      </c>
    </row>
    <row r="8" spans="1:6" x14ac:dyDescent="0.2">
      <c r="A8">
        <v>7</v>
      </c>
      <c r="B8" s="1" t="s">
        <v>5</v>
      </c>
      <c r="C8">
        <v>36.107999999999997</v>
      </c>
      <c r="D8">
        <v>41.14</v>
      </c>
      <c r="E8">
        <f t="shared" si="0"/>
        <v>1083</v>
      </c>
      <c r="F8">
        <f t="shared" si="1"/>
        <v>1234</v>
      </c>
    </row>
    <row r="9" spans="1:6" x14ac:dyDescent="0.2">
      <c r="A9">
        <v>8</v>
      </c>
      <c r="B9" s="1" t="s">
        <v>6</v>
      </c>
      <c r="C9">
        <v>41.173999999999999</v>
      </c>
      <c r="D9">
        <v>46.103999999999999</v>
      </c>
      <c r="E9">
        <f t="shared" si="0"/>
        <v>1235</v>
      </c>
      <c r="F9">
        <f t="shared" si="1"/>
        <v>1383</v>
      </c>
    </row>
    <row r="10" spans="1:6" x14ac:dyDescent="0.2">
      <c r="A10">
        <v>9</v>
      </c>
      <c r="B10" s="1" t="s">
        <v>6</v>
      </c>
      <c r="C10">
        <v>46.137999999999998</v>
      </c>
      <c r="D10">
        <v>51.136000000000003</v>
      </c>
      <c r="E10">
        <f t="shared" si="0"/>
        <v>1384</v>
      </c>
      <c r="F10">
        <f t="shared" si="1"/>
        <v>1534</v>
      </c>
    </row>
    <row r="11" spans="1:6" x14ac:dyDescent="0.2">
      <c r="A11">
        <v>10</v>
      </c>
      <c r="B11" s="1" t="s">
        <v>5</v>
      </c>
      <c r="C11">
        <v>51.238</v>
      </c>
      <c r="D11">
        <v>57.343000000000004</v>
      </c>
      <c r="E11">
        <f t="shared" si="0"/>
        <v>1537</v>
      </c>
      <c r="F11">
        <f t="shared" si="1"/>
        <v>1720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9795-018A-454E-A86C-5367D9E0F514}">
  <dimension ref="A1:F10"/>
  <sheetViews>
    <sheetView zoomScale="125" workbookViewId="0">
      <selection activeCell="F2" sqref="F2"/>
    </sheetView>
  </sheetViews>
  <sheetFormatPr baseColWidth="10" defaultRowHeight="16" x14ac:dyDescent="0.2"/>
  <cols>
    <col min="1" max="1" width="11.5" bestFit="1" customWidth="1"/>
    <col min="3" max="4" width="11.164062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18</v>
      </c>
      <c r="E1" t="s">
        <v>0</v>
      </c>
      <c r="F1" t="s">
        <v>1</v>
      </c>
    </row>
    <row r="2" spans="1:6" x14ac:dyDescent="0.2">
      <c r="A2">
        <v>1</v>
      </c>
      <c r="B2" s="2" t="s">
        <v>5</v>
      </c>
      <c r="C2" t="s">
        <v>19</v>
      </c>
      <c r="D2" t="s">
        <v>20</v>
      </c>
      <c r="E2">
        <f>LEFT(C2,2)*3600*30 + MID(C2,4,2)*60*30 + MID(C2,7,2)*30 + RIGHT(C2,2)</f>
        <v>187</v>
      </c>
      <c r="F2">
        <f>LEFT(D2,2)*3600*30 + MID(D2,4,2)*60*30 + MID(D2,7,2)*30 + RIGHT(D2,2)</f>
        <v>586</v>
      </c>
    </row>
    <row r="3" spans="1:6" x14ac:dyDescent="0.2">
      <c r="A3">
        <v>2</v>
      </c>
      <c r="B3" t="s">
        <v>6</v>
      </c>
      <c r="C3" t="s">
        <v>21</v>
      </c>
      <c r="D3" s="5" t="s">
        <v>22</v>
      </c>
      <c r="E3">
        <f t="shared" ref="E3:E7" si="0">LEFT(C3,2)*3600*30 + MID(C3,4,2)*60*30 + MID(C3,7,2)*30 + RIGHT(C3,2)</f>
        <v>676</v>
      </c>
      <c r="F3">
        <f t="shared" ref="F3:F7" si="1">LEFT(D3,2)*3600*30 + MID(D3,4,2)*60*30 + MID(D3,7,2)*30 + RIGHT(D3,2)</f>
        <v>1074</v>
      </c>
    </row>
    <row r="4" spans="1:6" x14ac:dyDescent="0.2">
      <c r="A4">
        <v>3</v>
      </c>
      <c r="B4" t="s">
        <v>5</v>
      </c>
      <c r="C4" t="s">
        <v>23</v>
      </c>
      <c r="D4" t="s">
        <v>24</v>
      </c>
      <c r="E4">
        <f t="shared" si="0"/>
        <v>1165</v>
      </c>
      <c r="F4">
        <f t="shared" si="1"/>
        <v>1564</v>
      </c>
    </row>
    <row r="5" spans="1:6" x14ac:dyDescent="0.2">
      <c r="A5">
        <v>4</v>
      </c>
      <c r="B5" t="s">
        <v>6</v>
      </c>
      <c r="C5" t="s">
        <v>25</v>
      </c>
      <c r="D5" t="s">
        <v>26</v>
      </c>
      <c r="E5">
        <f t="shared" si="0"/>
        <v>1656</v>
      </c>
      <c r="F5">
        <f t="shared" si="1"/>
        <v>2055</v>
      </c>
    </row>
    <row r="6" spans="1:6" x14ac:dyDescent="0.2">
      <c r="A6">
        <v>5</v>
      </c>
      <c r="B6" t="s">
        <v>5</v>
      </c>
      <c r="C6" t="s">
        <v>27</v>
      </c>
      <c r="D6" t="s">
        <v>28</v>
      </c>
      <c r="E6">
        <f t="shared" si="0"/>
        <v>2147</v>
      </c>
      <c r="F6">
        <f t="shared" si="1"/>
        <v>2546</v>
      </c>
    </row>
    <row r="7" spans="1:6" x14ac:dyDescent="0.2">
      <c r="A7">
        <v>6</v>
      </c>
      <c r="B7" t="s">
        <v>6</v>
      </c>
      <c r="C7" t="s">
        <v>29</v>
      </c>
      <c r="D7" s="5" t="s">
        <v>30</v>
      </c>
      <c r="E7">
        <f t="shared" si="0"/>
        <v>2639</v>
      </c>
      <c r="F7">
        <f t="shared" si="1"/>
        <v>3038</v>
      </c>
    </row>
    <row r="10" spans="1:6" x14ac:dyDescent="0.2">
      <c r="C10" s="9"/>
      <c r="D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760A-3F0F-9B4C-B32C-F0DB99EEF92D}">
  <dimension ref="A1:J17"/>
  <sheetViews>
    <sheetView workbookViewId="0">
      <selection activeCell="H2" sqref="H2"/>
    </sheetView>
  </sheetViews>
  <sheetFormatPr baseColWidth="10" defaultRowHeight="16" x14ac:dyDescent="0.2"/>
  <cols>
    <col min="1" max="1" width="11.5" bestFit="1" customWidth="1"/>
    <col min="2" max="3" width="22.33203125" bestFit="1" customWidth="1"/>
    <col min="5" max="5" width="14.6640625" bestFit="1" customWidth="1"/>
    <col min="7" max="7" width="14.33203125" bestFit="1" customWidth="1"/>
  </cols>
  <sheetData>
    <row r="1" spans="1:10" x14ac:dyDescent="0.2">
      <c r="A1" t="s">
        <v>2</v>
      </c>
      <c r="B1" t="s">
        <v>202</v>
      </c>
      <c r="C1" t="s">
        <v>203</v>
      </c>
      <c r="D1" t="s">
        <v>4</v>
      </c>
      <c r="E1" t="s">
        <v>31</v>
      </c>
      <c r="F1" t="s">
        <v>18</v>
      </c>
      <c r="G1" t="s">
        <v>32</v>
      </c>
      <c r="H1" t="s">
        <v>17</v>
      </c>
      <c r="I1" t="s">
        <v>0</v>
      </c>
      <c r="J1" t="s">
        <v>1</v>
      </c>
    </row>
    <row r="2" spans="1:10" x14ac:dyDescent="0.2">
      <c r="A2" s="4">
        <v>1</v>
      </c>
      <c r="B2" s="4" t="s">
        <v>6</v>
      </c>
      <c r="C2" s="4" t="s">
        <v>5</v>
      </c>
      <c r="D2" s="4">
        <v>2</v>
      </c>
      <c r="E2" s="4">
        <v>18</v>
      </c>
      <c r="F2" s="4">
        <v>3</v>
      </c>
      <c r="G2" s="4">
        <v>47</v>
      </c>
      <c r="H2" s="4">
        <f>D2*30+(E2/2)</f>
        <v>69</v>
      </c>
      <c r="I2">
        <f>H2-6</f>
        <v>63</v>
      </c>
      <c r="J2">
        <f>H2+6</f>
        <v>75</v>
      </c>
    </row>
    <row r="3" spans="1:10" x14ac:dyDescent="0.2">
      <c r="A3" s="4">
        <v>2</v>
      </c>
      <c r="B3" s="4" t="s">
        <v>6</v>
      </c>
      <c r="C3" s="4" t="s">
        <v>5</v>
      </c>
      <c r="D3" s="4">
        <v>6</v>
      </c>
      <c r="E3" s="4">
        <v>18</v>
      </c>
      <c r="F3" s="4">
        <v>7</v>
      </c>
      <c r="G3" s="4">
        <v>47</v>
      </c>
      <c r="H3" s="4">
        <f t="shared" ref="H3:H17" si="0">D3*30+(E3/2)</f>
        <v>189</v>
      </c>
      <c r="I3">
        <f t="shared" ref="I3:I16" si="1">H3-6</f>
        <v>183</v>
      </c>
      <c r="J3">
        <f t="shared" ref="J3:J17" si="2">H3+6</f>
        <v>195</v>
      </c>
    </row>
    <row r="4" spans="1:10" x14ac:dyDescent="0.2">
      <c r="A4" s="4">
        <v>3</v>
      </c>
      <c r="B4" s="4" t="s">
        <v>6</v>
      </c>
      <c r="C4" s="4" t="s">
        <v>5</v>
      </c>
      <c r="D4" s="4">
        <v>10</v>
      </c>
      <c r="E4" s="4">
        <v>18</v>
      </c>
      <c r="F4" s="4">
        <v>11</v>
      </c>
      <c r="G4" s="4">
        <v>47</v>
      </c>
      <c r="H4" s="4">
        <f t="shared" si="0"/>
        <v>309</v>
      </c>
      <c r="I4">
        <f t="shared" si="1"/>
        <v>303</v>
      </c>
      <c r="J4">
        <f t="shared" si="2"/>
        <v>315</v>
      </c>
    </row>
    <row r="5" spans="1:10" x14ac:dyDescent="0.2">
      <c r="A5" s="4">
        <v>4</v>
      </c>
      <c r="B5" s="4" t="s">
        <v>6</v>
      </c>
      <c r="C5" s="4" t="s">
        <v>5</v>
      </c>
      <c r="D5" s="4">
        <v>14</v>
      </c>
      <c r="E5" s="4">
        <v>18</v>
      </c>
      <c r="F5" s="4">
        <v>15</v>
      </c>
      <c r="G5" s="4">
        <v>47</v>
      </c>
      <c r="H5" s="4">
        <f t="shared" si="0"/>
        <v>429</v>
      </c>
      <c r="I5">
        <f t="shared" si="1"/>
        <v>423</v>
      </c>
      <c r="J5">
        <f t="shared" si="2"/>
        <v>435</v>
      </c>
    </row>
    <row r="6" spans="1:10" x14ac:dyDescent="0.2">
      <c r="A6" s="4">
        <v>5</v>
      </c>
      <c r="B6" s="4" t="s">
        <v>6</v>
      </c>
      <c r="C6" s="4" t="s">
        <v>5</v>
      </c>
      <c r="D6" s="4">
        <v>18</v>
      </c>
      <c r="E6" s="4">
        <v>18</v>
      </c>
      <c r="F6" s="4">
        <v>19</v>
      </c>
      <c r="G6" s="4">
        <v>47</v>
      </c>
      <c r="H6" s="4">
        <f t="shared" si="0"/>
        <v>549</v>
      </c>
      <c r="I6">
        <f t="shared" si="1"/>
        <v>543</v>
      </c>
      <c r="J6">
        <f t="shared" si="2"/>
        <v>555</v>
      </c>
    </row>
    <row r="7" spans="1:10" x14ac:dyDescent="0.2">
      <c r="A7" s="4">
        <v>6</v>
      </c>
      <c r="B7" s="4" t="s">
        <v>6</v>
      </c>
      <c r="C7" s="4" t="s">
        <v>5</v>
      </c>
      <c r="D7" s="4">
        <v>22</v>
      </c>
      <c r="E7" s="4">
        <v>18</v>
      </c>
      <c r="F7" s="4">
        <v>23</v>
      </c>
      <c r="G7" s="4">
        <v>47</v>
      </c>
      <c r="H7" s="4">
        <f t="shared" si="0"/>
        <v>669</v>
      </c>
      <c r="I7">
        <f t="shared" si="1"/>
        <v>663</v>
      </c>
      <c r="J7">
        <f t="shared" si="2"/>
        <v>675</v>
      </c>
    </row>
    <row r="8" spans="1:10" x14ac:dyDescent="0.2">
      <c r="A8" s="4">
        <v>7</v>
      </c>
      <c r="B8" s="4" t="s">
        <v>6</v>
      </c>
      <c r="C8" s="4" t="s">
        <v>5</v>
      </c>
      <c r="D8" s="4">
        <v>26</v>
      </c>
      <c r="E8" s="4">
        <v>18</v>
      </c>
      <c r="F8" s="4">
        <v>27</v>
      </c>
      <c r="G8" s="4">
        <v>47</v>
      </c>
      <c r="H8" s="4">
        <f t="shared" si="0"/>
        <v>789</v>
      </c>
      <c r="I8">
        <f t="shared" si="1"/>
        <v>783</v>
      </c>
      <c r="J8">
        <f t="shared" si="2"/>
        <v>795</v>
      </c>
    </row>
    <row r="9" spans="1:10" x14ac:dyDescent="0.2">
      <c r="A9" s="4">
        <v>8</v>
      </c>
      <c r="B9" s="4" t="s">
        <v>6</v>
      </c>
      <c r="C9" s="4" t="s">
        <v>5</v>
      </c>
      <c r="D9" s="4">
        <v>30</v>
      </c>
      <c r="E9" s="4">
        <v>18</v>
      </c>
      <c r="F9" s="4">
        <v>31</v>
      </c>
      <c r="G9" s="4">
        <v>47</v>
      </c>
      <c r="H9" s="4">
        <f t="shared" si="0"/>
        <v>909</v>
      </c>
      <c r="I9">
        <f t="shared" si="1"/>
        <v>903</v>
      </c>
      <c r="J9">
        <f t="shared" si="2"/>
        <v>915</v>
      </c>
    </row>
    <row r="10" spans="1:10" x14ac:dyDescent="0.2">
      <c r="A10" s="4">
        <v>9</v>
      </c>
      <c r="B10" s="4" t="s">
        <v>5</v>
      </c>
      <c r="C10" s="4" t="s">
        <v>6</v>
      </c>
      <c r="D10" s="4">
        <v>34</v>
      </c>
      <c r="E10" s="4">
        <v>18</v>
      </c>
      <c r="F10" s="4">
        <v>35</v>
      </c>
      <c r="G10" s="4">
        <v>47</v>
      </c>
      <c r="H10" s="4">
        <f t="shared" si="0"/>
        <v>1029</v>
      </c>
      <c r="I10">
        <f t="shared" si="1"/>
        <v>1023</v>
      </c>
      <c r="J10">
        <f t="shared" si="2"/>
        <v>1035</v>
      </c>
    </row>
    <row r="11" spans="1:10" x14ac:dyDescent="0.2">
      <c r="A11" s="4">
        <v>10</v>
      </c>
      <c r="B11" s="4" t="s">
        <v>5</v>
      </c>
      <c r="C11" s="4" t="s">
        <v>6</v>
      </c>
      <c r="D11" s="4">
        <v>38</v>
      </c>
      <c r="E11" s="4">
        <v>18</v>
      </c>
      <c r="F11" s="4">
        <v>39</v>
      </c>
      <c r="G11" s="4">
        <v>47</v>
      </c>
      <c r="H11" s="4">
        <f t="shared" si="0"/>
        <v>1149</v>
      </c>
      <c r="I11">
        <f t="shared" si="1"/>
        <v>1143</v>
      </c>
      <c r="J11">
        <f t="shared" si="2"/>
        <v>1155</v>
      </c>
    </row>
    <row r="12" spans="1:10" x14ac:dyDescent="0.2">
      <c r="A12" s="4">
        <v>11</v>
      </c>
      <c r="B12" s="4" t="s">
        <v>5</v>
      </c>
      <c r="C12" s="4" t="s">
        <v>6</v>
      </c>
      <c r="D12" s="4">
        <v>42</v>
      </c>
      <c r="E12" s="4">
        <v>18</v>
      </c>
      <c r="F12" s="4">
        <v>43</v>
      </c>
      <c r="G12" s="4">
        <v>47</v>
      </c>
      <c r="H12" s="4">
        <f t="shared" si="0"/>
        <v>1269</v>
      </c>
      <c r="I12">
        <f t="shared" si="1"/>
        <v>1263</v>
      </c>
      <c r="J12">
        <f t="shared" si="2"/>
        <v>1275</v>
      </c>
    </row>
    <row r="13" spans="1:10" x14ac:dyDescent="0.2">
      <c r="A13" s="4">
        <v>12</v>
      </c>
      <c r="B13" s="4" t="s">
        <v>5</v>
      </c>
      <c r="C13" s="4" t="s">
        <v>6</v>
      </c>
      <c r="D13" s="4">
        <v>46</v>
      </c>
      <c r="E13" s="4">
        <v>18</v>
      </c>
      <c r="F13" s="4">
        <v>47</v>
      </c>
      <c r="G13" s="4">
        <v>47</v>
      </c>
      <c r="H13" s="4">
        <f t="shared" si="0"/>
        <v>1389</v>
      </c>
      <c r="I13">
        <f t="shared" si="1"/>
        <v>1383</v>
      </c>
      <c r="J13">
        <f t="shared" si="2"/>
        <v>1395</v>
      </c>
    </row>
    <row r="14" spans="1:10" x14ac:dyDescent="0.2">
      <c r="A14" s="4">
        <v>13</v>
      </c>
      <c r="B14" s="4" t="s">
        <v>5</v>
      </c>
      <c r="C14" s="4" t="s">
        <v>6</v>
      </c>
      <c r="D14" s="4">
        <v>50</v>
      </c>
      <c r="E14" s="4">
        <v>18</v>
      </c>
      <c r="F14" s="4">
        <v>51</v>
      </c>
      <c r="G14" s="4">
        <v>47</v>
      </c>
      <c r="H14" s="4">
        <f t="shared" si="0"/>
        <v>1509</v>
      </c>
      <c r="I14">
        <f t="shared" si="1"/>
        <v>1503</v>
      </c>
      <c r="J14">
        <f t="shared" si="2"/>
        <v>1515</v>
      </c>
    </row>
    <row r="15" spans="1:10" x14ac:dyDescent="0.2">
      <c r="A15" s="4">
        <v>14</v>
      </c>
      <c r="B15" s="4" t="s">
        <v>5</v>
      </c>
      <c r="C15" s="4" t="s">
        <v>6</v>
      </c>
      <c r="D15" s="4">
        <v>54</v>
      </c>
      <c r="E15" s="4">
        <v>18</v>
      </c>
      <c r="F15" s="4">
        <v>55</v>
      </c>
      <c r="G15" s="4">
        <v>47</v>
      </c>
      <c r="H15" s="4">
        <f t="shared" si="0"/>
        <v>1629</v>
      </c>
      <c r="I15">
        <f t="shared" si="1"/>
        <v>1623</v>
      </c>
      <c r="J15">
        <f t="shared" si="2"/>
        <v>1635</v>
      </c>
    </row>
    <row r="16" spans="1:10" x14ac:dyDescent="0.2">
      <c r="A16" s="4">
        <v>15</v>
      </c>
      <c r="B16" s="4" t="s">
        <v>5</v>
      </c>
      <c r="C16" s="4" t="s">
        <v>6</v>
      </c>
      <c r="D16" s="4">
        <v>58</v>
      </c>
      <c r="E16" s="4">
        <v>18</v>
      </c>
      <c r="F16" s="4">
        <v>59</v>
      </c>
      <c r="G16" s="4">
        <v>47</v>
      </c>
      <c r="H16" s="4">
        <f t="shared" si="0"/>
        <v>1749</v>
      </c>
      <c r="I16">
        <f t="shared" si="1"/>
        <v>1743</v>
      </c>
      <c r="J16">
        <f t="shared" si="2"/>
        <v>1755</v>
      </c>
    </row>
    <row r="17" spans="1:10" x14ac:dyDescent="0.2">
      <c r="A17" s="4">
        <v>16</v>
      </c>
      <c r="B17" s="4" t="s">
        <v>5</v>
      </c>
      <c r="C17" s="4" t="s">
        <v>6</v>
      </c>
      <c r="D17" s="4">
        <v>62</v>
      </c>
      <c r="E17" s="4">
        <v>18</v>
      </c>
      <c r="F17" s="4">
        <v>63</v>
      </c>
      <c r="G17" s="4">
        <v>47</v>
      </c>
      <c r="H17" s="4">
        <f t="shared" si="0"/>
        <v>1869</v>
      </c>
      <c r="I17">
        <f>H17-6</f>
        <v>1863</v>
      </c>
      <c r="J17">
        <f t="shared" si="2"/>
        <v>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399-0B6E-9F43-8135-606BE21B8DC7}">
  <dimension ref="A1:M97"/>
  <sheetViews>
    <sheetView workbookViewId="0">
      <selection activeCell="G2" sqref="G2"/>
    </sheetView>
  </sheetViews>
  <sheetFormatPr baseColWidth="10" defaultRowHeight="16" x14ac:dyDescent="0.2"/>
  <cols>
    <col min="1" max="1" width="14.6640625" style="3" customWidth="1"/>
    <col min="2" max="2" width="13.83203125" style="3" bestFit="1" customWidth="1"/>
    <col min="3" max="3" width="14.6640625" style="3" bestFit="1" customWidth="1"/>
    <col min="4" max="4" width="13.6640625" style="3" bestFit="1" customWidth="1"/>
    <col min="5" max="5" width="14.6640625" style="3" bestFit="1" customWidth="1"/>
    <col min="6" max="6" width="13.6640625" style="3" bestFit="1" customWidth="1"/>
    <col min="7" max="7" width="14.6640625" style="3" bestFit="1" customWidth="1"/>
    <col min="8" max="8" width="13.6640625" bestFit="1" customWidth="1"/>
    <col min="9" max="9" width="14.6640625" style="3" bestFit="1" customWidth="1"/>
    <col min="10" max="10" width="13.6640625" bestFit="1" customWidth="1"/>
    <col min="11" max="11" width="14.6640625" style="3" bestFit="1" customWidth="1"/>
    <col min="12" max="12" width="13.6640625" bestFit="1" customWidth="1"/>
    <col min="13" max="13" width="14.6640625" style="3" bestFit="1" customWidth="1"/>
  </cols>
  <sheetData>
    <row r="1" spans="1:13" x14ac:dyDescent="0.2">
      <c r="A1" s="3" t="s">
        <v>2</v>
      </c>
      <c r="B1" s="3" t="s">
        <v>76</v>
      </c>
      <c r="C1" s="3" t="s">
        <v>77</v>
      </c>
      <c r="D1" s="3" t="s">
        <v>3</v>
      </c>
      <c r="E1" s="3" t="s">
        <v>78</v>
      </c>
      <c r="F1" s="3" t="s">
        <v>79</v>
      </c>
      <c r="G1" t="s">
        <v>0</v>
      </c>
      <c r="H1" t="s">
        <v>1</v>
      </c>
      <c r="I1"/>
      <c r="K1"/>
      <c r="M1"/>
    </row>
    <row r="2" spans="1:13" x14ac:dyDescent="0.2">
      <c r="A2" s="4" t="s">
        <v>213</v>
      </c>
      <c r="B2" s="8" t="s">
        <v>7</v>
      </c>
      <c r="C2" s="8" t="s">
        <v>15</v>
      </c>
      <c r="D2" s="8" t="s">
        <v>57</v>
      </c>
      <c r="E2" s="8" t="s">
        <v>33</v>
      </c>
      <c r="F2" s="8" t="s">
        <v>34</v>
      </c>
      <c r="G2" s="6">
        <f>LEFT(E2,2)*3600*30 + MID(E2,4,2)*60*30 + MID(E2,7,2)*30 + RIGHT(E2,2)</f>
        <v>1158</v>
      </c>
      <c r="H2" s="6">
        <f>LEFT(F2,2)*3600*30 + MID(F2,4,2)*60*30 + MID(F2,7,2)*30 + RIGHT(F2,2)</f>
        <v>1397</v>
      </c>
      <c r="I2" s="6"/>
      <c r="J2" s="4"/>
      <c r="K2" s="6"/>
      <c r="L2" s="4"/>
      <c r="M2" s="6"/>
    </row>
    <row r="3" spans="1:13" x14ac:dyDescent="0.2">
      <c r="A3" s="4" t="s">
        <v>214</v>
      </c>
      <c r="B3" s="8" t="s">
        <v>7</v>
      </c>
      <c r="C3" s="8" t="s">
        <v>15</v>
      </c>
      <c r="D3" s="8" t="s">
        <v>58</v>
      </c>
      <c r="E3" s="8" t="s">
        <v>35</v>
      </c>
      <c r="F3" s="8" t="s">
        <v>36</v>
      </c>
      <c r="G3" s="6">
        <f t="shared" ref="G3:G32" si="0">LEFT(E3,2)*3600*30 + MID(E3,4,2)*60*30 + MID(E3,7,2)*30 + RIGHT(E3,2)</f>
        <v>1430</v>
      </c>
      <c r="H3" s="6">
        <f t="shared" ref="H3:H32" si="1">LEFT(F3,2)*3600*30 + MID(F3,4,2)*60*30 + MID(F3,7,2)*30 + RIGHT(F3,2)</f>
        <v>1669</v>
      </c>
      <c r="I3" s="6"/>
      <c r="J3" s="4"/>
      <c r="K3" s="6"/>
      <c r="L3" s="4"/>
      <c r="M3" s="6"/>
    </row>
    <row r="4" spans="1:13" x14ac:dyDescent="0.2">
      <c r="A4" s="4" t="s">
        <v>215</v>
      </c>
      <c r="B4" s="8" t="s">
        <v>7</v>
      </c>
      <c r="C4" s="8" t="s">
        <v>16</v>
      </c>
      <c r="D4" s="8" t="s">
        <v>58</v>
      </c>
      <c r="E4" s="8" t="s">
        <v>37</v>
      </c>
      <c r="F4" s="8" t="s">
        <v>38</v>
      </c>
      <c r="G4" s="6">
        <f t="shared" si="0"/>
        <v>2604</v>
      </c>
      <c r="H4" s="6">
        <f t="shared" si="1"/>
        <v>2843</v>
      </c>
      <c r="I4" s="6"/>
      <c r="J4" s="4"/>
      <c r="K4" s="6"/>
      <c r="L4" s="4"/>
      <c r="M4" s="6"/>
    </row>
    <row r="5" spans="1:13" x14ac:dyDescent="0.2">
      <c r="A5" s="4" t="s">
        <v>216</v>
      </c>
      <c r="B5" s="8" t="s">
        <v>7</v>
      </c>
      <c r="C5" s="8" t="s">
        <v>16</v>
      </c>
      <c r="D5" s="8" t="s">
        <v>57</v>
      </c>
      <c r="E5" s="8" t="s">
        <v>39</v>
      </c>
      <c r="F5" s="8" t="s">
        <v>40</v>
      </c>
      <c r="G5" s="6">
        <f t="shared" si="0"/>
        <v>2878</v>
      </c>
      <c r="H5" s="6">
        <f t="shared" si="1"/>
        <v>3117</v>
      </c>
      <c r="I5" s="6"/>
      <c r="J5" s="4"/>
      <c r="K5" s="6"/>
      <c r="L5" s="4"/>
      <c r="M5" s="6"/>
    </row>
    <row r="6" spans="1:13" x14ac:dyDescent="0.2">
      <c r="A6" s="4" t="s">
        <v>217</v>
      </c>
      <c r="B6" s="8" t="s">
        <v>7</v>
      </c>
      <c r="C6" s="8" t="s">
        <v>16</v>
      </c>
      <c r="D6" s="8" t="s">
        <v>57</v>
      </c>
      <c r="E6" s="8" t="s">
        <v>41</v>
      </c>
      <c r="F6" s="8" t="s">
        <v>42</v>
      </c>
      <c r="G6" s="6">
        <f t="shared" si="0"/>
        <v>4046</v>
      </c>
      <c r="H6" s="6">
        <f t="shared" si="1"/>
        <v>4285</v>
      </c>
      <c r="I6" s="6"/>
      <c r="J6" s="4"/>
      <c r="K6" s="6"/>
      <c r="L6" s="4"/>
      <c r="M6" s="6"/>
    </row>
    <row r="7" spans="1:13" x14ac:dyDescent="0.2">
      <c r="A7" s="4" t="s">
        <v>218</v>
      </c>
      <c r="B7" s="8" t="s">
        <v>7</v>
      </c>
      <c r="C7" s="8" t="s">
        <v>16</v>
      </c>
      <c r="D7" s="8" t="s">
        <v>58</v>
      </c>
      <c r="E7" s="8" t="s">
        <v>43</v>
      </c>
      <c r="F7" s="8" t="s">
        <v>44</v>
      </c>
      <c r="G7" s="6">
        <f t="shared" si="0"/>
        <v>4320</v>
      </c>
      <c r="H7" s="6">
        <f t="shared" si="1"/>
        <v>4559</v>
      </c>
      <c r="I7" s="6"/>
      <c r="J7" s="4"/>
      <c r="K7" s="6"/>
      <c r="L7" s="4"/>
      <c r="M7" s="6"/>
    </row>
    <row r="8" spans="1:13" x14ac:dyDescent="0.2">
      <c r="A8" s="4" t="s">
        <v>219</v>
      </c>
      <c r="B8" s="8" t="s">
        <v>7</v>
      </c>
      <c r="C8" s="8" t="s">
        <v>15</v>
      </c>
      <c r="D8" s="8" t="s">
        <v>58</v>
      </c>
      <c r="E8" s="8" t="s">
        <v>45</v>
      </c>
      <c r="F8" s="8" t="s">
        <v>46</v>
      </c>
      <c r="G8" s="6">
        <f t="shared" si="0"/>
        <v>5464</v>
      </c>
      <c r="H8" s="6">
        <f t="shared" si="1"/>
        <v>5703</v>
      </c>
      <c r="I8" s="6"/>
      <c r="J8" s="4"/>
      <c r="K8" s="6"/>
      <c r="L8" s="4"/>
      <c r="M8" s="6"/>
    </row>
    <row r="9" spans="1:13" x14ac:dyDescent="0.2">
      <c r="A9" s="4" t="s">
        <v>220</v>
      </c>
      <c r="B9" s="8" t="s">
        <v>7</v>
      </c>
      <c r="C9" s="8" t="s">
        <v>15</v>
      </c>
      <c r="D9" s="8" t="s">
        <v>57</v>
      </c>
      <c r="E9" s="8" t="s">
        <v>47</v>
      </c>
      <c r="F9" s="8" t="s">
        <v>48</v>
      </c>
      <c r="G9" s="6">
        <f t="shared" si="0"/>
        <v>5768</v>
      </c>
      <c r="H9" s="6">
        <f t="shared" si="1"/>
        <v>6008</v>
      </c>
      <c r="I9" s="6"/>
      <c r="J9" s="4"/>
      <c r="K9" s="6"/>
      <c r="L9" s="4"/>
      <c r="M9" s="6"/>
    </row>
    <row r="10" spans="1:13" x14ac:dyDescent="0.2">
      <c r="A10" s="4" t="s">
        <v>221</v>
      </c>
      <c r="B10" s="8" t="s">
        <v>7</v>
      </c>
      <c r="C10" s="8" t="s">
        <v>16</v>
      </c>
      <c r="D10" s="8" t="s">
        <v>57</v>
      </c>
      <c r="E10" s="8" t="s">
        <v>49</v>
      </c>
      <c r="F10" s="8" t="s">
        <v>50</v>
      </c>
      <c r="G10" s="6">
        <f t="shared" si="0"/>
        <v>6906</v>
      </c>
      <c r="H10" s="6">
        <f t="shared" si="1"/>
        <v>7145</v>
      </c>
      <c r="I10" s="6"/>
      <c r="J10" s="4"/>
      <c r="K10" s="6"/>
      <c r="L10" s="4"/>
      <c r="M10" s="6"/>
    </row>
    <row r="11" spans="1:13" x14ac:dyDescent="0.2">
      <c r="A11" s="4" t="s">
        <v>222</v>
      </c>
      <c r="B11" s="8" t="s">
        <v>7</v>
      </c>
      <c r="C11" s="8" t="s">
        <v>16</v>
      </c>
      <c r="D11" s="8" t="s">
        <v>58</v>
      </c>
      <c r="E11" s="8" t="s">
        <v>51</v>
      </c>
      <c r="F11" s="8" t="s">
        <v>52</v>
      </c>
      <c r="G11" s="6">
        <f t="shared" si="0"/>
        <v>7206</v>
      </c>
      <c r="H11" s="6">
        <f t="shared" si="1"/>
        <v>7445</v>
      </c>
      <c r="I11" s="6"/>
      <c r="J11" s="4"/>
      <c r="K11" s="6"/>
      <c r="L11" s="4"/>
      <c r="M11" s="6"/>
    </row>
    <row r="12" spans="1:13" x14ac:dyDescent="0.2">
      <c r="A12" s="4" t="s">
        <v>223</v>
      </c>
      <c r="B12" s="8" t="s">
        <v>7</v>
      </c>
      <c r="C12" s="8" t="s">
        <v>15</v>
      </c>
      <c r="D12" s="8" t="s">
        <v>58</v>
      </c>
      <c r="E12" s="8" t="s">
        <v>53</v>
      </c>
      <c r="F12" s="8" t="s">
        <v>54</v>
      </c>
      <c r="G12" s="6">
        <f t="shared" si="0"/>
        <v>8346</v>
      </c>
      <c r="H12" s="6">
        <f t="shared" si="1"/>
        <v>8585</v>
      </c>
      <c r="I12" s="6"/>
      <c r="J12" s="4"/>
      <c r="K12" s="6"/>
      <c r="L12" s="4"/>
      <c r="M12" s="6"/>
    </row>
    <row r="13" spans="1:13" x14ac:dyDescent="0.2">
      <c r="A13" s="4" t="s">
        <v>224</v>
      </c>
      <c r="B13" s="8" t="s">
        <v>7</v>
      </c>
      <c r="C13" s="8" t="s">
        <v>15</v>
      </c>
      <c r="D13" s="8" t="s">
        <v>57</v>
      </c>
      <c r="E13" s="8" t="s">
        <v>55</v>
      </c>
      <c r="F13" s="8" t="s">
        <v>56</v>
      </c>
      <c r="G13" s="6">
        <f t="shared" si="0"/>
        <v>8646</v>
      </c>
      <c r="H13" s="6">
        <f t="shared" si="1"/>
        <v>8885</v>
      </c>
      <c r="I13" s="7"/>
      <c r="K13" s="7"/>
      <c r="M13" s="7"/>
    </row>
    <row r="14" spans="1:13" x14ac:dyDescent="0.2">
      <c r="A14" s="4" t="s">
        <v>213</v>
      </c>
      <c r="B14" s="8" t="s">
        <v>8</v>
      </c>
      <c r="C14" s="8" t="s">
        <v>16</v>
      </c>
      <c r="D14" s="8" t="s">
        <v>58</v>
      </c>
      <c r="E14" s="8" t="s">
        <v>33</v>
      </c>
      <c r="F14" s="8" t="s">
        <v>34</v>
      </c>
      <c r="G14" s="6">
        <f t="shared" si="0"/>
        <v>1158</v>
      </c>
      <c r="H14" s="6">
        <f t="shared" si="1"/>
        <v>1397</v>
      </c>
    </row>
    <row r="15" spans="1:13" x14ac:dyDescent="0.2">
      <c r="A15" s="4" t="s">
        <v>214</v>
      </c>
      <c r="B15" s="8" t="s">
        <v>8</v>
      </c>
      <c r="C15" s="8" t="s">
        <v>16</v>
      </c>
      <c r="D15" s="8" t="s">
        <v>57</v>
      </c>
      <c r="E15" s="8" t="s">
        <v>35</v>
      </c>
      <c r="F15" s="8" t="s">
        <v>36</v>
      </c>
      <c r="G15" s="6">
        <f t="shared" si="0"/>
        <v>1430</v>
      </c>
      <c r="H15" s="6">
        <f t="shared" si="1"/>
        <v>1669</v>
      </c>
    </row>
    <row r="16" spans="1:13" x14ac:dyDescent="0.2">
      <c r="A16" s="4" t="s">
        <v>215</v>
      </c>
      <c r="B16" s="8" t="s">
        <v>8</v>
      </c>
      <c r="C16" s="8" t="s">
        <v>15</v>
      </c>
      <c r="D16" s="8" t="s">
        <v>57</v>
      </c>
      <c r="E16" s="8" t="s">
        <v>80</v>
      </c>
      <c r="F16" s="8" t="s">
        <v>81</v>
      </c>
      <c r="G16" s="6">
        <f t="shared" si="0"/>
        <v>2606</v>
      </c>
      <c r="H16" s="6">
        <f t="shared" si="1"/>
        <v>2845</v>
      </c>
    </row>
    <row r="17" spans="1:8" x14ac:dyDescent="0.2">
      <c r="A17" s="4" t="s">
        <v>216</v>
      </c>
      <c r="B17" s="8" t="s">
        <v>8</v>
      </c>
      <c r="C17" s="8" t="s">
        <v>15</v>
      </c>
      <c r="D17" s="8" t="s">
        <v>58</v>
      </c>
      <c r="E17" s="8" t="s">
        <v>39</v>
      </c>
      <c r="F17" s="8" t="s">
        <v>40</v>
      </c>
      <c r="G17" s="6">
        <f t="shared" si="0"/>
        <v>2878</v>
      </c>
      <c r="H17" s="6">
        <f t="shared" si="1"/>
        <v>3117</v>
      </c>
    </row>
    <row r="18" spans="1:8" x14ac:dyDescent="0.2">
      <c r="A18" s="4" t="s">
        <v>217</v>
      </c>
      <c r="B18" s="8" t="s">
        <v>8</v>
      </c>
      <c r="C18" s="8" t="s">
        <v>15</v>
      </c>
      <c r="D18" s="8" t="s">
        <v>58</v>
      </c>
      <c r="E18" s="8" t="s">
        <v>82</v>
      </c>
      <c r="F18" s="8" t="s">
        <v>83</v>
      </c>
      <c r="G18" s="6">
        <f t="shared" si="0"/>
        <v>4024</v>
      </c>
      <c r="H18" s="6">
        <f t="shared" si="1"/>
        <v>4263</v>
      </c>
    </row>
    <row r="19" spans="1:8" x14ac:dyDescent="0.2">
      <c r="A19" s="4" t="s">
        <v>218</v>
      </c>
      <c r="B19" s="8" t="s">
        <v>8</v>
      </c>
      <c r="C19" s="8" t="s">
        <v>15</v>
      </c>
      <c r="D19" s="8" t="s">
        <v>57</v>
      </c>
      <c r="E19" s="8" t="s">
        <v>84</v>
      </c>
      <c r="F19" s="8" t="s">
        <v>85</v>
      </c>
      <c r="G19" s="6">
        <f t="shared" si="0"/>
        <v>4328</v>
      </c>
      <c r="H19" s="6">
        <f t="shared" si="1"/>
        <v>4567</v>
      </c>
    </row>
    <row r="20" spans="1:8" x14ac:dyDescent="0.2">
      <c r="A20" s="4" t="s">
        <v>219</v>
      </c>
      <c r="B20" s="8" t="s">
        <v>8</v>
      </c>
      <c r="C20" s="8" t="s">
        <v>16</v>
      </c>
      <c r="D20" s="8" t="s">
        <v>57</v>
      </c>
      <c r="E20" s="8" t="s">
        <v>86</v>
      </c>
      <c r="F20" s="8" t="s">
        <v>87</v>
      </c>
      <c r="G20" s="6">
        <f t="shared" si="0"/>
        <v>5476</v>
      </c>
      <c r="H20" s="6">
        <f t="shared" si="1"/>
        <v>5715</v>
      </c>
    </row>
    <row r="21" spans="1:8" x14ac:dyDescent="0.2">
      <c r="A21" s="4" t="s">
        <v>220</v>
      </c>
      <c r="B21" s="8" t="s">
        <v>8</v>
      </c>
      <c r="C21" s="8" t="s">
        <v>16</v>
      </c>
      <c r="D21" s="8" t="s">
        <v>58</v>
      </c>
      <c r="E21" s="8" t="s">
        <v>88</v>
      </c>
      <c r="F21" s="8" t="s">
        <v>89</v>
      </c>
      <c r="G21" s="6">
        <f t="shared" si="0"/>
        <v>5780</v>
      </c>
      <c r="H21" s="6">
        <f t="shared" si="1"/>
        <v>6019</v>
      </c>
    </row>
    <row r="22" spans="1:8" x14ac:dyDescent="0.2">
      <c r="A22" s="4" t="s">
        <v>221</v>
      </c>
      <c r="B22" s="8" t="s">
        <v>8</v>
      </c>
      <c r="C22" s="8" t="s">
        <v>15</v>
      </c>
      <c r="D22" s="8" t="s">
        <v>58</v>
      </c>
      <c r="E22" s="8" t="s">
        <v>90</v>
      </c>
      <c r="F22" s="8" t="s">
        <v>91</v>
      </c>
      <c r="G22" s="6">
        <f t="shared" si="0"/>
        <v>6926</v>
      </c>
      <c r="H22" s="6">
        <f t="shared" si="1"/>
        <v>7165</v>
      </c>
    </row>
    <row r="23" spans="1:8" x14ac:dyDescent="0.2">
      <c r="A23" s="4" t="s">
        <v>222</v>
      </c>
      <c r="B23" s="8" t="s">
        <v>8</v>
      </c>
      <c r="C23" s="8" t="s">
        <v>15</v>
      </c>
      <c r="D23" s="8" t="s">
        <v>57</v>
      </c>
      <c r="E23" s="8" t="s">
        <v>92</v>
      </c>
      <c r="F23" s="8" t="s">
        <v>93</v>
      </c>
      <c r="G23" s="6">
        <f t="shared" si="0"/>
        <v>7200</v>
      </c>
      <c r="H23" s="6">
        <f t="shared" si="1"/>
        <v>7469</v>
      </c>
    </row>
    <row r="24" spans="1:8" x14ac:dyDescent="0.2">
      <c r="A24" s="4" t="s">
        <v>223</v>
      </c>
      <c r="B24" s="8" t="s">
        <v>8</v>
      </c>
      <c r="C24" s="8" t="s">
        <v>16</v>
      </c>
      <c r="D24" s="8" t="s">
        <v>57</v>
      </c>
      <c r="E24" s="8" t="s">
        <v>94</v>
      </c>
      <c r="F24" s="8" t="s">
        <v>95</v>
      </c>
      <c r="G24" s="6">
        <f t="shared" si="0"/>
        <v>8374</v>
      </c>
      <c r="H24" s="6">
        <f t="shared" si="1"/>
        <v>8613</v>
      </c>
    </row>
    <row r="25" spans="1:8" x14ac:dyDescent="0.2">
      <c r="A25" s="4" t="s">
        <v>224</v>
      </c>
      <c r="B25" s="8" t="s">
        <v>8</v>
      </c>
      <c r="C25" s="8" t="s">
        <v>16</v>
      </c>
      <c r="D25" s="8" t="s">
        <v>58</v>
      </c>
      <c r="E25" s="8" t="s">
        <v>96</v>
      </c>
      <c r="F25" s="8" t="s">
        <v>97</v>
      </c>
      <c r="G25" s="6">
        <f t="shared" si="0"/>
        <v>8648</v>
      </c>
      <c r="H25" s="6">
        <f t="shared" si="1"/>
        <v>8887</v>
      </c>
    </row>
    <row r="26" spans="1:8" x14ac:dyDescent="0.2">
      <c r="A26" s="4" t="s">
        <v>213</v>
      </c>
      <c r="B26" s="8" t="s">
        <v>9</v>
      </c>
      <c r="C26" s="8" t="s">
        <v>16</v>
      </c>
      <c r="D26" s="8" t="s">
        <v>57</v>
      </c>
      <c r="E26" s="8" t="s">
        <v>98</v>
      </c>
      <c r="F26" s="8" t="s">
        <v>99</v>
      </c>
      <c r="G26" s="6">
        <f t="shared" si="0"/>
        <v>1152</v>
      </c>
      <c r="H26" s="6">
        <f t="shared" si="1"/>
        <v>1391</v>
      </c>
    </row>
    <row r="27" spans="1:8" x14ac:dyDescent="0.2">
      <c r="A27" s="4" t="s">
        <v>214</v>
      </c>
      <c r="B27" s="8" t="s">
        <v>9</v>
      </c>
      <c r="C27" s="8" t="s">
        <v>16</v>
      </c>
      <c r="D27" s="8" t="s">
        <v>58</v>
      </c>
      <c r="E27" s="8" t="s">
        <v>100</v>
      </c>
      <c r="F27" s="8" t="s">
        <v>101</v>
      </c>
      <c r="G27" s="6">
        <f t="shared" si="0"/>
        <v>1424</v>
      </c>
      <c r="H27" s="6">
        <f t="shared" si="1"/>
        <v>1663</v>
      </c>
    </row>
    <row r="28" spans="1:8" x14ac:dyDescent="0.2">
      <c r="A28" s="4" t="s">
        <v>215</v>
      </c>
      <c r="B28" s="8" t="s">
        <v>9</v>
      </c>
      <c r="C28" s="8" t="s">
        <v>15</v>
      </c>
      <c r="D28" s="8" t="s">
        <v>57</v>
      </c>
      <c r="E28" s="8" t="s">
        <v>102</v>
      </c>
      <c r="F28" s="8" t="s">
        <v>103</v>
      </c>
      <c r="G28" s="6">
        <f t="shared" si="0"/>
        <v>2598</v>
      </c>
      <c r="H28" s="6">
        <f t="shared" si="1"/>
        <v>2837</v>
      </c>
    </row>
    <row r="29" spans="1:8" x14ac:dyDescent="0.2">
      <c r="A29" s="4" t="s">
        <v>216</v>
      </c>
      <c r="B29" s="8" t="s">
        <v>9</v>
      </c>
      <c r="C29" s="8" t="s">
        <v>15</v>
      </c>
      <c r="D29" s="8" t="s">
        <v>58</v>
      </c>
      <c r="E29" s="8" t="s">
        <v>104</v>
      </c>
      <c r="F29" s="8" t="s">
        <v>105</v>
      </c>
      <c r="G29" s="6">
        <f t="shared" si="0"/>
        <v>2872</v>
      </c>
      <c r="H29" s="6">
        <f t="shared" si="1"/>
        <v>3111</v>
      </c>
    </row>
    <row r="30" spans="1:8" x14ac:dyDescent="0.2">
      <c r="A30" s="4" t="s">
        <v>217</v>
      </c>
      <c r="B30" s="8" t="s">
        <v>9</v>
      </c>
      <c r="C30" s="8" t="s">
        <v>15</v>
      </c>
      <c r="D30" s="8" t="s">
        <v>58</v>
      </c>
      <c r="E30" s="8" t="s">
        <v>106</v>
      </c>
      <c r="F30" s="8" t="s">
        <v>107</v>
      </c>
      <c r="G30" s="6">
        <f t="shared" si="0"/>
        <v>4044</v>
      </c>
      <c r="H30" s="6">
        <f t="shared" si="1"/>
        <v>4283</v>
      </c>
    </row>
    <row r="31" spans="1:8" x14ac:dyDescent="0.2">
      <c r="A31" s="4" t="s">
        <v>218</v>
      </c>
      <c r="B31" s="8" t="s">
        <v>9</v>
      </c>
      <c r="C31" s="8" t="s">
        <v>15</v>
      </c>
      <c r="D31" s="8" t="s">
        <v>57</v>
      </c>
      <c r="E31" s="8" t="s">
        <v>108</v>
      </c>
      <c r="F31" s="8" t="s">
        <v>109</v>
      </c>
      <c r="G31" s="6">
        <f t="shared" si="0"/>
        <v>4316</v>
      </c>
      <c r="H31" s="6">
        <f t="shared" si="1"/>
        <v>4555</v>
      </c>
    </row>
    <row r="32" spans="1:8" x14ac:dyDescent="0.2">
      <c r="A32" s="4" t="s">
        <v>219</v>
      </c>
      <c r="B32" s="8" t="s">
        <v>9</v>
      </c>
      <c r="C32" s="8" t="s">
        <v>16</v>
      </c>
      <c r="D32" s="8" t="s">
        <v>58</v>
      </c>
      <c r="E32" s="8" t="s">
        <v>110</v>
      </c>
      <c r="F32" s="8" t="s">
        <v>111</v>
      </c>
      <c r="G32" s="6">
        <f t="shared" si="0"/>
        <v>5488</v>
      </c>
      <c r="H32" s="6">
        <f t="shared" si="1"/>
        <v>5727</v>
      </c>
    </row>
    <row r="33" spans="1:8" x14ac:dyDescent="0.2">
      <c r="A33" s="4" t="s">
        <v>220</v>
      </c>
      <c r="B33" s="8" t="s">
        <v>9</v>
      </c>
      <c r="C33" s="8" t="s">
        <v>16</v>
      </c>
      <c r="D33" s="8" t="s">
        <v>57</v>
      </c>
      <c r="E33" s="8" t="s">
        <v>112</v>
      </c>
      <c r="F33" s="8" t="s">
        <v>113</v>
      </c>
      <c r="G33" s="6">
        <f>LEFT(E33,2)*3600*30 + MID(E33,4,2)*60*30 + MID(E33,7,2)*30 + RIGHT(E33,2)</f>
        <v>5762</v>
      </c>
      <c r="H33" s="6">
        <f>LEFT(F33,2)*3600*30 + MID(F33,4,2)*60*30 + MID(F33,7,2)*30 + RIGHT(F33,2)</f>
        <v>6001</v>
      </c>
    </row>
    <row r="34" spans="1:8" x14ac:dyDescent="0.2">
      <c r="A34" s="4" t="s">
        <v>221</v>
      </c>
      <c r="B34" s="8" t="s">
        <v>9</v>
      </c>
      <c r="C34" s="8" t="s">
        <v>16</v>
      </c>
      <c r="D34" s="8" t="s">
        <v>57</v>
      </c>
      <c r="E34" s="8" t="s">
        <v>114</v>
      </c>
      <c r="F34" s="8" t="s">
        <v>115</v>
      </c>
      <c r="G34" s="6">
        <f t="shared" ref="G34:G50" si="2">LEFT(E34,2)*3600*30 + MID(E34,4,2)*60*30 + MID(E34,7,2)*30 + RIGHT(E34,2)</f>
        <v>6904</v>
      </c>
      <c r="H34" s="6">
        <f t="shared" ref="H34:H50" si="3">LEFT(F34,2)*3600*30 + MID(F34,4,2)*60*30 + MID(F34,7,2)*30 + RIGHT(F34,2)</f>
        <v>7143</v>
      </c>
    </row>
    <row r="35" spans="1:8" x14ac:dyDescent="0.2">
      <c r="A35" s="4" t="s">
        <v>222</v>
      </c>
      <c r="B35" s="8" t="s">
        <v>9</v>
      </c>
      <c r="C35" s="8" t="s">
        <v>16</v>
      </c>
      <c r="D35" s="8" t="s">
        <v>58</v>
      </c>
      <c r="E35" s="8" t="s">
        <v>51</v>
      </c>
      <c r="F35" s="8" t="s">
        <v>52</v>
      </c>
      <c r="G35" s="6">
        <f t="shared" si="2"/>
        <v>7206</v>
      </c>
      <c r="H35" s="6">
        <f t="shared" si="3"/>
        <v>7445</v>
      </c>
    </row>
    <row r="36" spans="1:8" x14ac:dyDescent="0.2">
      <c r="A36" s="4" t="s">
        <v>223</v>
      </c>
      <c r="B36" s="8" t="s">
        <v>9</v>
      </c>
      <c r="C36" s="8" t="s">
        <v>15</v>
      </c>
      <c r="D36" s="8" t="s">
        <v>58</v>
      </c>
      <c r="E36" s="8" t="s">
        <v>53</v>
      </c>
      <c r="F36" s="8" t="s">
        <v>54</v>
      </c>
      <c r="G36" s="6">
        <f t="shared" si="2"/>
        <v>8346</v>
      </c>
      <c r="H36" s="6">
        <f t="shared" si="3"/>
        <v>8585</v>
      </c>
    </row>
    <row r="37" spans="1:8" x14ac:dyDescent="0.2">
      <c r="A37" s="4" t="s">
        <v>224</v>
      </c>
      <c r="B37" s="8" t="s">
        <v>9</v>
      </c>
      <c r="C37" s="8" t="s">
        <v>15</v>
      </c>
      <c r="D37" s="8" t="s">
        <v>57</v>
      </c>
      <c r="E37" s="8" t="s">
        <v>96</v>
      </c>
      <c r="F37" s="8" t="s">
        <v>97</v>
      </c>
      <c r="G37" s="6">
        <f t="shared" si="2"/>
        <v>8648</v>
      </c>
      <c r="H37" s="6">
        <f t="shared" si="3"/>
        <v>8887</v>
      </c>
    </row>
    <row r="38" spans="1:8" x14ac:dyDescent="0.2">
      <c r="A38" s="4" t="s">
        <v>213</v>
      </c>
      <c r="B38" s="8" t="s">
        <v>10</v>
      </c>
      <c r="C38" s="8" t="s">
        <v>15</v>
      </c>
      <c r="D38" s="8" t="s">
        <v>58</v>
      </c>
      <c r="E38" s="8" t="s">
        <v>116</v>
      </c>
      <c r="F38" s="8" t="s">
        <v>117</v>
      </c>
      <c r="G38" s="6">
        <f t="shared" si="2"/>
        <v>1162</v>
      </c>
      <c r="H38" s="6">
        <f t="shared" si="3"/>
        <v>1401</v>
      </c>
    </row>
    <row r="39" spans="1:8" x14ac:dyDescent="0.2">
      <c r="A39" s="4" t="s">
        <v>214</v>
      </c>
      <c r="B39" s="8" t="s">
        <v>10</v>
      </c>
      <c r="C39" s="8" t="s">
        <v>15</v>
      </c>
      <c r="D39" s="8" t="s">
        <v>57</v>
      </c>
      <c r="E39" s="8" t="s">
        <v>118</v>
      </c>
      <c r="F39" s="8" t="s">
        <v>119</v>
      </c>
      <c r="G39" s="6">
        <f t="shared" si="2"/>
        <v>1434</v>
      </c>
      <c r="H39" s="6">
        <f t="shared" si="3"/>
        <v>1673</v>
      </c>
    </row>
    <row r="40" spans="1:8" x14ac:dyDescent="0.2">
      <c r="A40" s="4" t="s">
        <v>215</v>
      </c>
      <c r="B40" s="8" t="s">
        <v>10</v>
      </c>
      <c r="C40" s="8" t="s">
        <v>16</v>
      </c>
      <c r="D40" s="8" t="s">
        <v>58</v>
      </c>
      <c r="E40" s="8" t="s">
        <v>120</v>
      </c>
      <c r="F40" s="8" t="s">
        <v>121</v>
      </c>
      <c r="G40" s="6">
        <f t="shared" si="2"/>
        <v>2608</v>
      </c>
      <c r="H40" s="6">
        <f t="shared" si="3"/>
        <v>2847</v>
      </c>
    </row>
    <row r="41" spans="1:8" x14ac:dyDescent="0.2">
      <c r="A41" s="4" t="s">
        <v>216</v>
      </c>
      <c r="B41" s="8" t="s">
        <v>10</v>
      </c>
      <c r="C41" s="8" t="s">
        <v>16</v>
      </c>
      <c r="D41" s="8" t="s">
        <v>57</v>
      </c>
      <c r="E41" s="8" t="s">
        <v>122</v>
      </c>
      <c r="F41" s="8" t="s">
        <v>123</v>
      </c>
      <c r="G41" s="6">
        <f t="shared" si="2"/>
        <v>2880</v>
      </c>
      <c r="H41" s="6">
        <f t="shared" si="3"/>
        <v>3119</v>
      </c>
    </row>
    <row r="42" spans="1:8" x14ac:dyDescent="0.2">
      <c r="A42" s="4" t="s">
        <v>217</v>
      </c>
      <c r="B42" s="8" t="s">
        <v>10</v>
      </c>
      <c r="C42" s="8" t="s">
        <v>16</v>
      </c>
      <c r="D42" s="8" t="s">
        <v>57</v>
      </c>
      <c r="E42" s="8" t="s">
        <v>124</v>
      </c>
      <c r="F42" s="8" t="s">
        <v>125</v>
      </c>
      <c r="G42" s="6">
        <f t="shared" si="2"/>
        <v>4022</v>
      </c>
      <c r="H42" s="6">
        <f t="shared" si="3"/>
        <v>4261</v>
      </c>
    </row>
    <row r="43" spans="1:8" x14ac:dyDescent="0.2">
      <c r="A43" s="4" t="s">
        <v>218</v>
      </c>
      <c r="B43" s="8" t="s">
        <v>10</v>
      </c>
      <c r="C43" s="8" t="s">
        <v>16</v>
      </c>
      <c r="D43" s="8" t="s">
        <v>58</v>
      </c>
      <c r="E43" s="8" t="s">
        <v>126</v>
      </c>
      <c r="F43" s="8" t="s">
        <v>127</v>
      </c>
      <c r="G43" s="6">
        <f t="shared" si="2"/>
        <v>4326</v>
      </c>
      <c r="H43" s="6">
        <f t="shared" si="3"/>
        <v>4565</v>
      </c>
    </row>
    <row r="44" spans="1:8" x14ac:dyDescent="0.2">
      <c r="A44" s="4" t="s">
        <v>219</v>
      </c>
      <c r="B44" s="8" t="s">
        <v>10</v>
      </c>
      <c r="C44" s="8" t="s">
        <v>15</v>
      </c>
      <c r="D44" s="8" t="s">
        <v>57</v>
      </c>
      <c r="E44" s="8" t="s">
        <v>86</v>
      </c>
      <c r="F44" s="8" t="s">
        <v>87</v>
      </c>
      <c r="G44" s="6">
        <f t="shared" si="2"/>
        <v>5476</v>
      </c>
      <c r="H44" s="6">
        <f t="shared" si="3"/>
        <v>5715</v>
      </c>
    </row>
    <row r="45" spans="1:8" x14ac:dyDescent="0.2">
      <c r="A45" s="4" t="s">
        <v>220</v>
      </c>
      <c r="B45" s="8" t="s">
        <v>10</v>
      </c>
      <c r="C45" s="8" t="s">
        <v>15</v>
      </c>
      <c r="D45" s="8" t="s">
        <v>58</v>
      </c>
      <c r="E45" s="8" t="s">
        <v>88</v>
      </c>
      <c r="F45" s="8" t="s">
        <v>89</v>
      </c>
      <c r="G45" s="6">
        <f t="shared" si="2"/>
        <v>5780</v>
      </c>
      <c r="H45" s="6">
        <f t="shared" si="3"/>
        <v>6019</v>
      </c>
    </row>
    <row r="46" spans="1:8" x14ac:dyDescent="0.2">
      <c r="A46" s="4" t="s">
        <v>221</v>
      </c>
      <c r="B46" s="8" t="s">
        <v>10</v>
      </c>
      <c r="C46" s="8" t="s">
        <v>15</v>
      </c>
      <c r="D46" s="8" t="s">
        <v>58</v>
      </c>
      <c r="E46" s="8" t="s">
        <v>90</v>
      </c>
      <c r="F46" s="8" t="s">
        <v>91</v>
      </c>
      <c r="G46" s="6">
        <f t="shared" si="2"/>
        <v>6926</v>
      </c>
      <c r="H46" s="6">
        <f t="shared" si="3"/>
        <v>7165</v>
      </c>
    </row>
    <row r="47" spans="1:8" x14ac:dyDescent="0.2">
      <c r="A47" s="4" t="s">
        <v>222</v>
      </c>
      <c r="B47" s="8" t="s">
        <v>10</v>
      </c>
      <c r="C47" s="8" t="s">
        <v>15</v>
      </c>
      <c r="D47" s="8" t="s">
        <v>57</v>
      </c>
      <c r="E47" s="8" t="s">
        <v>128</v>
      </c>
      <c r="F47" s="8" t="s">
        <v>129</v>
      </c>
      <c r="G47" s="6">
        <f t="shared" si="2"/>
        <v>7228</v>
      </c>
      <c r="H47" s="6">
        <f t="shared" si="3"/>
        <v>7467</v>
      </c>
    </row>
    <row r="48" spans="1:8" x14ac:dyDescent="0.2">
      <c r="A48" s="4" t="s">
        <v>223</v>
      </c>
      <c r="B48" s="8" t="s">
        <v>10</v>
      </c>
      <c r="C48" s="8" t="s">
        <v>16</v>
      </c>
      <c r="D48" s="8" t="s">
        <v>57</v>
      </c>
      <c r="E48" s="8" t="s">
        <v>94</v>
      </c>
      <c r="F48" s="8" t="s">
        <v>95</v>
      </c>
      <c r="G48" s="6">
        <f t="shared" si="2"/>
        <v>8374</v>
      </c>
      <c r="H48" s="6">
        <f t="shared" si="3"/>
        <v>8613</v>
      </c>
    </row>
    <row r="49" spans="1:8" x14ac:dyDescent="0.2">
      <c r="A49" s="4" t="s">
        <v>224</v>
      </c>
      <c r="B49" s="8" t="s">
        <v>10</v>
      </c>
      <c r="C49" s="8" t="s">
        <v>16</v>
      </c>
      <c r="D49" s="8" t="s">
        <v>58</v>
      </c>
      <c r="E49" s="8" t="s">
        <v>96</v>
      </c>
      <c r="F49" s="8" t="s">
        <v>97</v>
      </c>
      <c r="G49" s="6">
        <f t="shared" si="2"/>
        <v>8648</v>
      </c>
      <c r="H49" s="6">
        <f t="shared" si="3"/>
        <v>8887</v>
      </c>
    </row>
    <row r="50" spans="1:8" x14ac:dyDescent="0.2">
      <c r="A50" s="4" t="s">
        <v>213</v>
      </c>
      <c r="B50" s="8" t="s">
        <v>11</v>
      </c>
      <c r="C50" s="8" t="s">
        <v>15</v>
      </c>
      <c r="D50" s="8" t="s">
        <v>58</v>
      </c>
      <c r="E50" s="8" t="s">
        <v>130</v>
      </c>
      <c r="F50" s="8" t="s">
        <v>131</v>
      </c>
      <c r="G50" s="6">
        <f t="shared" si="2"/>
        <v>1156</v>
      </c>
      <c r="H50" s="6">
        <f t="shared" si="3"/>
        <v>1395</v>
      </c>
    </row>
    <row r="51" spans="1:8" x14ac:dyDescent="0.2">
      <c r="A51" s="4" t="s">
        <v>214</v>
      </c>
      <c r="B51" s="8" t="s">
        <v>11</v>
      </c>
      <c r="C51" s="8" t="s">
        <v>15</v>
      </c>
      <c r="D51" s="8" t="s">
        <v>57</v>
      </c>
      <c r="E51" s="8" t="s">
        <v>132</v>
      </c>
      <c r="F51" s="8" t="s">
        <v>133</v>
      </c>
      <c r="G51" s="6">
        <f>LEFT(E51,2)*3600*30 + MID(E51,4,2)*60*30 + MID(E51,7,2)*30 + RIGHT(E51,2)</f>
        <v>1428</v>
      </c>
      <c r="H51" s="6">
        <f>LEFT(F51,2)*3600*30 + MID(F51,4,2)*60*30 + MID(F51,7,2)*30 + RIGHT(F51,2)</f>
        <v>1667</v>
      </c>
    </row>
    <row r="52" spans="1:8" x14ac:dyDescent="0.2">
      <c r="A52" s="4" t="s">
        <v>215</v>
      </c>
      <c r="B52" s="8" t="s">
        <v>11</v>
      </c>
      <c r="C52" s="8" t="s">
        <v>16</v>
      </c>
      <c r="D52" s="8" t="s">
        <v>58</v>
      </c>
      <c r="E52" s="8" t="s">
        <v>134</v>
      </c>
      <c r="F52" s="8" t="s">
        <v>135</v>
      </c>
      <c r="G52" s="6">
        <f t="shared" ref="G52:G71" si="4">LEFT(E52,2)*3600*30 + MID(E52,4,2)*60*30 + MID(E52,7,2)*30 + RIGHT(E52,2)</f>
        <v>2600</v>
      </c>
      <c r="H52" s="6">
        <f t="shared" ref="H52:H71" si="5">LEFT(F52,2)*3600*30 + MID(F52,4,2)*60*30 + MID(F52,7,2)*30 + RIGHT(F52,2)</f>
        <v>2839</v>
      </c>
    </row>
    <row r="53" spans="1:8" x14ac:dyDescent="0.2">
      <c r="A53" s="4" t="s">
        <v>216</v>
      </c>
      <c r="B53" s="8" t="s">
        <v>11</v>
      </c>
      <c r="C53" s="8" t="s">
        <v>16</v>
      </c>
      <c r="D53" s="8" t="s">
        <v>57</v>
      </c>
      <c r="E53" s="8" t="s">
        <v>104</v>
      </c>
      <c r="F53" s="8" t="s">
        <v>105</v>
      </c>
      <c r="G53" s="6">
        <f t="shared" si="4"/>
        <v>2872</v>
      </c>
      <c r="H53" s="6">
        <f t="shared" si="5"/>
        <v>3111</v>
      </c>
    </row>
    <row r="54" spans="1:8" x14ac:dyDescent="0.2">
      <c r="A54" s="4" t="s">
        <v>217</v>
      </c>
      <c r="B54" s="8" t="s">
        <v>11</v>
      </c>
      <c r="C54" s="8" t="s">
        <v>15</v>
      </c>
      <c r="D54" s="8" t="s">
        <v>57</v>
      </c>
      <c r="E54" s="8" t="s">
        <v>136</v>
      </c>
      <c r="F54" s="8" t="s">
        <v>137</v>
      </c>
      <c r="G54" s="6">
        <f t="shared" si="4"/>
        <v>4042</v>
      </c>
      <c r="H54" s="6">
        <f t="shared" si="5"/>
        <v>4281</v>
      </c>
    </row>
    <row r="55" spans="1:8" x14ac:dyDescent="0.2">
      <c r="A55" s="4" t="s">
        <v>218</v>
      </c>
      <c r="B55" s="8" t="s">
        <v>11</v>
      </c>
      <c r="C55" s="8" t="s">
        <v>15</v>
      </c>
      <c r="D55" s="8" t="s">
        <v>58</v>
      </c>
      <c r="E55" s="8" t="s">
        <v>138</v>
      </c>
      <c r="F55" s="8" t="s">
        <v>139</v>
      </c>
      <c r="G55" s="6">
        <f t="shared" si="4"/>
        <v>4314</v>
      </c>
      <c r="H55" s="6">
        <f t="shared" si="5"/>
        <v>4553</v>
      </c>
    </row>
    <row r="56" spans="1:8" x14ac:dyDescent="0.2">
      <c r="A56" s="4" t="s">
        <v>219</v>
      </c>
      <c r="B56" s="8" t="s">
        <v>11</v>
      </c>
      <c r="C56" s="8" t="s">
        <v>16</v>
      </c>
      <c r="D56" s="8" t="s">
        <v>57</v>
      </c>
      <c r="E56" s="8" t="s">
        <v>140</v>
      </c>
      <c r="F56" s="8" t="s">
        <v>141</v>
      </c>
      <c r="G56" s="6">
        <f t="shared" si="4"/>
        <v>5484</v>
      </c>
      <c r="H56" s="6">
        <f t="shared" si="5"/>
        <v>5723</v>
      </c>
    </row>
    <row r="57" spans="1:8" x14ac:dyDescent="0.2">
      <c r="A57" s="4" t="s">
        <v>220</v>
      </c>
      <c r="B57" s="8" t="s">
        <v>11</v>
      </c>
      <c r="C57" s="8" t="s">
        <v>16</v>
      </c>
      <c r="D57" s="8" t="s">
        <v>58</v>
      </c>
      <c r="E57" s="8" t="s">
        <v>142</v>
      </c>
      <c r="F57" s="8" t="s">
        <v>143</v>
      </c>
      <c r="G57" s="6">
        <f t="shared" si="4"/>
        <v>5754</v>
      </c>
      <c r="H57" s="6">
        <f t="shared" si="5"/>
        <v>5993</v>
      </c>
    </row>
    <row r="58" spans="1:8" x14ac:dyDescent="0.2">
      <c r="A58" s="4" t="s">
        <v>221</v>
      </c>
      <c r="B58" s="8" t="s">
        <v>11</v>
      </c>
      <c r="C58" s="8" t="s">
        <v>15</v>
      </c>
      <c r="D58" s="8" t="s">
        <v>58</v>
      </c>
      <c r="E58" s="8" t="s">
        <v>144</v>
      </c>
      <c r="F58" s="8" t="s">
        <v>145</v>
      </c>
      <c r="G58" s="6">
        <f t="shared" si="4"/>
        <v>6926</v>
      </c>
      <c r="H58" s="6">
        <f t="shared" si="5"/>
        <v>7165</v>
      </c>
    </row>
    <row r="59" spans="1:8" x14ac:dyDescent="0.2">
      <c r="A59" s="4" t="s">
        <v>222</v>
      </c>
      <c r="B59" s="8" t="s">
        <v>11</v>
      </c>
      <c r="C59" s="8" t="s">
        <v>15</v>
      </c>
      <c r="D59" s="8" t="s">
        <v>57</v>
      </c>
      <c r="E59" s="8" t="s">
        <v>146</v>
      </c>
      <c r="F59" s="8" t="s">
        <v>147</v>
      </c>
      <c r="G59" s="6">
        <f t="shared" si="4"/>
        <v>7198</v>
      </c>
      <c r="H59" s="6">
        <f t="shared" si="5"/>
        <v>7437</v>
      </c>
    </row>
    <row r="60" spans="1:8" x14ac:dyDescent="0.2">
      <c r="A60" s="4" t="s">
        <v>223</v>
      </c>
      <c r="B60" s="8" t="s">
        <v>11</v>
      </c>
      <c r="C60" s="8" t="s">
        <v>16</v>
      </c>
      <c r="D60" s="8" t="s">
        <v>57</v>
      </c>
      <c r="E60" s="8" t="s">
        <v>148</v>
      </c>
      <c r="F60" s="8" t="s">
        <v>149</v>
      </c>
      <c r="G60" s="6">
        <f t="shared" si="4"/>
        <v>8368</v>
      </c>
      <c r="H60" s="6">
        <f t="shared" si="5"/>
        <v>8608</v>
      </c>
    </row>
    <row r="61" spans="1:8" x14ac:dyDescent="0.2">
      <c r="A61" s="4" t="s">
        <v>224</v>
      </c>
      <c r="B61" s="8" t="s">
        <v>11</v>
      </c>
      <c r="C61" s="8" t="s">
        <v>16</v>
      </c>
      <c r="D61" s="8" t="s">
        <v>58</v>
      </c>
      <c r="E61" s="8" t="s">
        <v>150</v>
      </c>
      <c r="F61" s="8" t="s">
        <v>151</v>
      </c>
      <c r="G61" s="6">
        <f t="shared" si="4"/>
        <v>8638</v>
      </c>
      <c r="H61" s="6">
        <f t="shared" si="5"/>
        <v>8877</v>
      </c>
    </row>
    <row r="62" spans="1:8" x14ac:dyDescent="0.2">
      <c r="A62" s="4" t="s">
        <v>213</v>
      </c>
      <c r="B62" s="8" t="s">
        <v>12</v>
      </c>
      <c r="C62" s="8" t="s">
        <v>16</v>
      </c>
      <c r="D62" s="8" t="s">
        <v>57</v>
      </c>
      <c r="E62" s="8" t="s">
        <v>98</v>
      </c>
      <c r="F62" s="8" t="s">
        <v>99</v>
      </c>
      <c r="G62" s="6">
        <f t="shared" si="4"/>
        <v>1152</v>
      </c>
      <c r="H62" s="6">
        <f t="shared" si="5"/>
        <v>1391</v>
      </c>
    </row>
    <row r="63" spans="1:8" x14ac:dyDescent="0.2">
      <c r="A63" s="4" t="s">
        <v>214</v>
      </c>
      <c r="B63" s="8" t="s">
        <v>12</v>
      </c>
      <c r="C63" s="8" t="s">
        <v>16</v>
      </c>
      <c r="D63" s="8" t="s">
        <v>58</v>
      </c>
      <c r="E63" s="8" t="s">
        <v>100</v>
      </c>
      <c r="F63" s="8" t="s">
        <v>101</v>
      </c>
      <c r="G63" s="6">
        <f t="shared" si="4"/>
        <v>1424</v>
      </c>
      <c r="H63" s="6">
        <f t="shared" si="5"/>
        <v>1663</v>
      </c>
    </row>
    <row r="64" spans="1:8" x14ac:dyDescent="0.2">
      <c r="A64" s="4" t="s">
        <v>215</v>
      </c>
      <c r="B64" s="8" t="s">
        <v>12</v>
      </c>
      <c r="C64" s="8" t="s">
        <v>15</v>
      </c>
      <c r="D64" s="8" t="s">
        <v>57</v>
      </c>
      <c r="E64" s="8" t="s">
        <v>102</v>
      </c>
      <c r="F64" s="8" t="s">
        <v>103</v>
      </c>
      <c r="G64" s="6">
        <f t="shared" si="4"/>
        <v>2598</v>
      </c>
      <c r="H64" s="6">
        <f t="shared" si="5"/>
        <v>2837</v>
      </c>
    </row>
    <row r="65" spans="1:8" x14ac:dyDescent="0.2">
      <c r="A65" s="4" t="s">
        <v>216</v>
      </c>
      <c r="B65" s="8" t="s">
        <v>12</v>
      </c>
      <c r="C65" s="8" t="s">
        <v>15</v>
      </c>
      <c r="D65" s="8" t="s">
        <v>58</v>
      </c>
      <c r="E65" s="8" t="s">
        <v>104</v>
      </c>
      <c r="F65" s="8" t="s">
        <v>105</v>
      </c>
      <c r="G65" s="6">
        <f t="shared" si="4"/>
        <v>2872</v>
      </c>
      <c r="H65" s="6">
        <f t="shared" si="5"/>
        <v>3111</v>
      </c>
    </row>
    <row r="66" spans="1:8" x14ac:dyDescent="0.2">
      <c r="A66" s="4" t="s">
        <v>217</v>
      </c>
      <c r="B66" s="8" t="s">
        <v>12</v>
      </c>
      <c r="C66" s="8" t="s">
        <v>16</v>
      </c>
      <c r="D66" s="8" t="s">
        <v>58</v>
      </c>
      <c r="E66" s="8" t="s">
        <v>106</v>
      </c>
      <c r="F66" s="8" t="s">
        <v>107</v>
      </c>
      <c r="G66" s="6">
        <f t="shared" si="4"/>
        <v>4044</v>
      </c>
      <c r="H66" s="6">
        <f t="shared" si="5"/>
        <v>4283</v>
      </c>
    </row>
    <row r="67" spans="1:8" x14ac:dyDescent="0.2">
      <c r="A67" s="4" t="s">
        <v>218</v>
      </c>
      <c r="B67" s="8" t="s">
        <v>12</v>
      </c>
      <c r="C67" s="8" t="s">
        <v>16</v>
      </c>
      <c r="D67" s="8" t="s">
        <v>57</v>
      </c>
      <c r="E67" s="8" t="s">
        <v>108</v>
      </c>
      <c r="F67" s="8" t="s">
        <v>109</v>
      </c>
      <c r="G67" s="6">
        <f t="shared" si="4"/>
        <v>4316</v>
      </c>
      <c r="H67" s="6">
        <f t="shared" si="5"/>
        <v>4555</v>
      </c>
    </row>
    <row r="68" spans="1:8" x14ac:dyDescent="0.2">
      <c r="A68" s="4" t="s">
        <v>219</v>
      </c>
      <c r="B68" s="8" t="s">
        <v>12</v>
      </c>
      <c r="C68" s="8" t="s">
        <v>15</v>
      </c>
      <c r="D68" s="8" t="s">
        <v>58</v>
      </c>
      <c r="E68" s="8" t="s">
        <v>152</v>
      </c>
      <c r="F68" s="8" t="s">
        <v>153</v>
      </c>
      <c r="G68" s="6">
        <f t="shared" si="4"/>
        <v>5460</v>
      </c>
      <c r="H68" s="6">
        <f t="shared" si="5"/>
        <v>5699</v>
      </c>
    </row>
    <row r="69" spans="1:8" x14ac:dyDescent="0.2">
      <c r="A69" s="4" t="s">
        <v>220</v>
      </c>
      <c r="B69" s="8" t="s">
        <v>12</v>
      </c>
      <c r="C69" s="8" t="s">
        <v>15</v>
      </c>
      <c r="D69" s="8" t="s">
        <v>57</v>
      </c>
      <c r="E69" s="8" t="s">
        <v>154</v>
      </c>
      <c r="F69" s="8" t="s">
        <v>155</v>
      </c>
      <c r="G69" s="6">
        <f t="shared" si="4"/>
        <v>5734</v>
      </c>
      <c r="H69" s="6">
        <f t="shared" si="5"/>
        <v>5973</v>
      </c>
    </row>
    <row r="70" spans="1:8" x14ac:dyDescent="0.2">
      <c r="A70" s="4" t="s">
        <v>221</v>
      </c>
      <c r="B70" s="8" t="s">
        <v>12</v>
      </c>
      <c r="C70" s="8" t="s">
        <v>16</v>
      </c>
      <c r="D70" s="8" t="s">
        <v>57</v>
      </c>
      <c r="E70" s="8" t="s">
        <v>156</v>
      </c>
      <c r="F70" s="8" t="s">
        <v>157</v>
      </c>
      <c r="G70" s="6">
        <f t="shared" si="4"/>
        <v>6904</v>
      </c>
      <c r="H70" s="6">
        <f t="shared" si="5"/>
        <v>7143</v>
      </c>
    </row>
    <row r="71" spans="1:8" x14ac:dyDescent="0.2">
      <c r="A71" s="4" t="s">
        <v>222</v>
      </c>
      <c r="B71" s="8" t="s">
        <v>12</v>
      </c>
      <c r="C71" s="8" t="s">
        <v>16</v>
      </c>
      <c r="D71" s="8" t="s">
        <v>58</v>
      </c>
      <c r="E71" s="8" t="s">
        <v>158</v>
      </c>
      <c r="F71" s="8" t="s">
        <v>159</v>
      </c>
      <c r="G71" s="6">
        <f t="shared" si="4"/>
        <v>7176</v>
      </c>
      <c r="H71" s="6">
        <f t="shared" si="5"/>
        <v>7415</v>
      </c>
    </row>
    <row r="72" spans="1:8" x14ac:dyDescent="0.2">
      <c r="A72" s="4" t="s">
        <v>223</v>
      </c>
      <c r="B72" s="8" t="s">
        <v>12</v>
      </c>
      <c r="C72" s="8" t="s">
        <v>15</v>
      </c>
      <c r="D72" s="8" t="s">
        <v>58</v>
      </c>
      <c r="E72" s="8" t="s">
        <v>160</v>
      </c>
      <c r="F72" s="8" t="s">
        <v>161</v>
      </c>
      <c r="G72" s="6">
        <f>LEFT(E72,2)*3600*30 + MID(E72,4,2)*60*30 + MID(E72,7,2)*30 + RIGHT(E72,2)</f>
        <v>8348</v>
      </c>
      <c r="H72" s="6">
        <f>LEFT(F72,2)*3600*30 + MID(F72,4,2)*60*30 + MID(F72,7,2)*30 + RIGHT(F72,2)</f>
        <v>8587</v>
      </c>
    </row>
    <row r="73" spans="1:8" x14ac:dyDescent="0.2">
      <c r="A73" s="4" t="s">
        <v>224</v>
      </c>
      <c r="B73" s="8" t="s">
        <v>12</v>
      </c>
      <c r="C73" s="8" t="s">
        <v>15</v>
      </c>
      <c r="D73" s="8" t="s">
        <v>57</v>
      </c>
      <c r="E73" s="8" t="s">
        <v>162</v>
      </c>
      <c r="F73" s="8" t="s">
        <v>163</v>
      </c>
      <c r="G73" s="6">
        <f t="shared" ref="G73:G84" si="6">LEFT(E73,2)*3600*30 + MID(E73,4,2)*60*30 + MID(E73,7,2)*30 + RIGHT(E73,2)</f>
        <v>8620</v>
      </c>
      <c r="H73" s="6">
        <f t="shared" ref="H73:H84" si="7">LEFT(F73,2)*3600*30 + MID(F73,4,2)*60*30 + MID(F73,7,2)*30 + RIGHT(F73,2)</f>
        <v>8859</v>
      </c>
    </row>
    <row r="74" spans="1:8" x14ac:dyDescent="0.2">
      <c r="A74" s="4" t="s">
        <v>213</v>
      </c>
      <c r="B74" s="8" t="s">
        <v>13</v>
      </c>
      <c r="C74" s="8" t="s">
        <v>15</v>
      </c>
      <c r="D74" s="8" t="s">
        <v>57</v>
      </c>
      <c r="E74" s="8" t="s">
        <v>164</v>
      </c>
      <c r="F74" s="8" t="s">
        <v>165</v>
      </c>
      <c r="G74" s="6">
        <f t="shared" si="6"/>
        <v>1160</v>
      </c>
      <c r="H74" s="6">
        <f t="shared" si="7"/>
        <v>1399</v>
      </c>
    </row>
    <row r="75" spans="1:8" x14ac:dyDescent="0.2">
      <c r="A75" s="4" t="s">
        <v>214</v>
      </c>
      <c r="B75" s="8" t="s">
        <v>13</v>
      </c>
      <c r="C75" s="8" t="s">
        <v>15</v>
      </c>
      <c r="D75" s="8" t="s">
        <v>58</v>
      </c>
      <c r="E75" s="8" t="s">
        <v>166</v>
      </c>
      <c r="F75" s="8" t="s">
        <v>167</v>
      </c>
      <c r="G75" s="6">
        <f t="shared" si="6"/>
        <v>1432</v>
      </c>
      <c r="H75" s="6">
        <f t="shared" si="7"/>
        <v>1671</v>
      </c>
    </row>
    <row r="76" spans="1:8" x14ac:dyDescent="0.2">
      <c r="A76" s="4" t="s">
        <v>215</v>
      </c>
      <c r="B76" s="8" t="s">
        <v>13</v>
      </c>
      <c r="C76" s="8" t="s">
        <v>16</v>
      </c>
      <c r="D76" s="8" t="s">
        <v>58</v>
      </c>
      <c r="E76" s="8" t="s">
        <v>37</v>
      </c>
      <c r="F76" s="8" t="s">
        <v>38</v>
      </c>
      <c r="G76" s="6">
        <f t="shared" si="6"/>
        <v>2604</v>
      </c>
      <c r="H76" s="6">
        <f t="shared" si="7"/>
        <v>2843</v>
      </c>
    </row>
    <row r="77" spans="1:8" x14ac:dyDescent="0.2">
      <c r="A77" s="4" t="s">
        <v>216</v>
      </c>
      <c r="B77" s="8" t="s">
        <v>13</v>
      </c>
      <c r="C77" s="8" t="s">
        <v>16</v>
      </c>
      <c r="D77" s="8" t="s">
        <v>57</v>
      </c>
      <c r="E77" s="8" t="s">
        <v>168</v>
      </c>
      <c r="F77" s="8" t="s">
        <v>169</v>
      </c>
      <c r="G77" s="6">
        <f t="shared" si="6"/>
        <v>2876</v>
      </c>
      <c r="H77" s="6">
        <f t="shared" si="7"/>
        <v>3115</v>
      </c>
    </row>
    <row r="78" spans="1:8" x14ac:dyDescent="0.2">
      <c r="A78" s="4" t="s">
        <v>217</v>
      </c>
      <c r="B78" s="8" t="s">
        <v>13</v>
      </c>
      <c r="C78" s="8" t="s">
        <v>16</v>
      </c>
      <c r="D78" s="8" t="s">
        <v>58</v>
      </c>
      <c r="E78" s="8" t="s">
        <v>82</v>
      </c>
      <c r="F78" s="8" t="s">
        <v>83</v>
      </c>
      <c r="G78" s="6">
        <f t="shared" si="6"/>
        <v>4024</v>
      </c>
      <c r="H78" s="6">
        <f t="shared" si="7"/>
        <v>4263</v>
      </c>
    </row>
    <row r="79" spans="1:8" x14ac:dyDescent="0.2">
      <c r="A79" s="4" t="s">
        <v>218</v>
      </c>
      <c r="B79" s="8" t="s">
        <v>13</v>
      </c>
      <c r="C79" s="8" t="s">
        <v>16</v>
      </c>
      <c r="D79" s="8" t="s">
        <v>57</v>
      </c>
      <c r="E79" s="8" t="s">
        <v>126</v>
      </c>
      <c r="F79" s="8" t="s">
        <v>127</v>
      </c>
      <c r="G79" s="6">
        <f t="shared" si="6"/>
        <v>4326</v>
      </c>
      <c r="H79" s="6">
        <f t="shared" si="7"/>
        <v>4565</v>
      </c>
    </row>
    <row r="80" spans="1:8" x14ac:dyDescent="0.2">
      <c r="A80" s="4" t="s">
        <v>219</v>
      </c>
      <c r="B80" s="8" t="s">
        <v>13</v>
      </c>
      <c r="C80" s="8" t="s">
        <v>15</v>
      </c>
      <c r="D80" s="8" t="s">
        <v>57</v>
      </c>
      <c r="E80" s="8" t="s">
        <v>170</v>
      </c>
      <c r="F80" s="8" t="s">
        <v>171</v>
      </c>
      <c r="G80" s="6">
        <f t="shared" si="6"/>
        <v>5468</v>
      </c>
      <c r="H80" s="6">
        <f t="shared" si="7"/>
        <v>5707</v>
      </c>
    </row>
    <row r="81" spans="1:8" x14ac:dyDescent="0.2">
      <c r="A81" s="4" t="s">
        <v>220</v>
      </c>
      <c r="B81" s="8" t="s">
        <v>13</v>
      </c>
      <c r="C81" s="8" t="s">
        <v>15</v>
      </c>
      <c r="D81" s="8" t="s">
        <v>58</v>
      </c>
      <c r="E81" s="8" t="s">
        <v>172</v>
      </c>
      <c r="F81" s="8" t="s">
        <v>173</v>
      </c>
      <c r="G81" s="6">
        <f t="shared" si="6"/>
        <v>5770</v>
      </c>
      <c r="H81" s="6">
        <f t="shared" si="7"/>
        <v>6009</v>
      </c>
    </row>
    <row r="82" spans="1:8" x14ac:dyDescent="0.2">
      <c r="A82" s="4" t="s">
        <v>221</v>
      </c>
      <c r="B82" s="8" t="s">
        <v>13</v>
      </c>
      <c r="C82" s="8" t="s">
        <v>16</v>
      </c>
      <c r="D82" s="8" t="s">
        <v>57</v>
      </c>
      <c r="E82" s="8" t="s">
        <v>174</v>
      </c>
      <c r="F82" s="8" t="s">
        <v>175</v>
      </c>
      <c r="G82" s="6">
        <f t="shared" si="6"/>
        <v>6914</v>
      </c>
      <c r="H82" s="6">
        <f t="shared" si="7"/>
        <v>7153</v>
      </c>
    </row>
    <row r="83" spans="1:8" x14ac:dyDescent="0.2">
      <c r="A83" s="4" t="s">
        <v>222</v>
      </c>
      <c r="B83" s="8" t="s">
        <v>13</v>
      </c>
      <c r="C83" s="8" t="s">
        <v>16</v>
      </c>
      <c r="D83" s="8" t="s">
        <v>58</v>
      </c>
      <c r="E83" s="8" t="s">
        <v>176</v>
      </c>
      <c r="F83" s="8" t="s">
        <v>177</v>
      </c>
      <c r="G83" s="6">
        <f t="shared" si="6"/>
        <v>7216</v>
      </c>
      <c r="H83" s="6">
        <f t="shared" si="7"/>
        <v>7455</v>
      </c>
    </row>
    <row r="84" spans="1:8" x14ac:dyDescent="0.2">
      <c r="A84" s="4" t="s">
        <v>223</v>
      </c>
      <c r="B84" s="8" t="s">
        <v>13</v>
      </c>
      <c r="C84" s="8" t="s">
        <v>15</v>
      </c>
      <c r="D84" s="8" t="s">
        <v>58</v>
      </c>
      <c r="E84" s="8" t="s">
        <v>178</v>
      </c>
      <c r="F84" s="8" t="s">
        <v>179</v>
      </c>
      <c r="G84" s="6">
        <f t="shared" si="6"/>
        <v>8356</v>
      </c>
      <c r="H84" s="6">
        <f t="shared" si="7"/>
        <v>8595</v>
      </c>
    </row>
    <row r="85" spans="1:8" x14ac:dyDescent="0.2">
      <c r="A85" s="4" t="s">
        <v>224</v>
      </c>
      <c r="B85" s="8" t="s">
        <v>13</v>
      </c>
      <c r="C85" s="8" t="s">
        <v>15</v>
      </c>
      <c r="D85" s="8" t="s">
        <v>57</v>
      </c>
      <c r="E85" s="8" t="s">
        <v>180</v>
      </c>
      <c r="F85" s="8" t="s">
        <v>181</v>
      </c>
      <c r="G85" s="6">
        <f>LEFT(E85,2)*3600*30 + MID(E85,4,2)*60*30 + MID(E85,7,2)*30 + RIGHT(E85,2)</f>
        <v>8658</v>
      </c>
      <c r="H85" s="6">
        <f>LEFT(F85,2)*3600*30 + MID(F85,4,2)*60*30 + MID(F85,7,2)*30 + RIGHT(F85,2)</f>
        <v>8897</v>
      </c>
    </row>
    <row r="86" spans="1:8" x14ac:dyDescent="0.2">
      <c r="A86" s="4" t="s">
        <v>213</v>
      </c>
      <c r="B86" s="8" t="s">
        <v>14</v>
      </c>
      <c r="C86" s="8" t="s">
        <v>16</v>
      </c>
      <c r="D86" s="8" t="s">
        <v>58</v>
      </c>
      <c r="E86" s="8" t="s">
        <v>33</v>
      </c>
      <c r="F86" s="8" t="s">
        <v>34</v>
      </c>
      <c r="G86" s="6">
        <f t="shared" ref="G86:G97" si="8">LEFT(E86,2)*3600*30 + MID(E86,4,2)*60*30 + MID(E86,7,2)*30 + RIGHT(E86,2)</f>
        <v>1158</v>
      </c>
      <c r="H86" s="6">
        <f t="shared" ref="H86:H97" si="9">LEFT(F86,2)*3600*30 + MID(F86,4,2)*60*30 + MID(F86,7,2)*30 + RIGHT(F86,2)</f>
        <v>1397</v>
      </c>
    </row>
    <row r="87" spans="1:8" x14ac:dyDescent="0.2">
      <c r="A87" s="4" t="s">
        <v>214</v>
      </c>
      <c r="B87" s="8" t="s">
        <v>14</v>
      </c>
      <c r="C87" s="8" t="s">
        <v>16</v>
      </c>
      <c r="D87" s="8" t="s">
        <v>57</v>
      </c>
      <c r="E87" s="8" t="s">
        <v>35</v>
      </c>
      <c r="F87" s="8" t="s">
        <v>36</v>
      </c>
      <c r="G87" s="6">
        <f t="shared" si="8"/>
        <v>1430</v>
      </c>
      <c r="H87" s="6">
        <f t="shared" si="9"/>
        <v>1669</v>
      </c>
    </row>
    <row r="88" spans="1:8" x14ac:dyDescent="0.2">
      <c r="A88" s="4" t="s">
        <v>215</v>
      </c>
      <c r="B88" s="8" t="s">
        <v>14</v>
      </c>
      <c r="C88" s="8" t="s">
        <v>15</v>
      </c>
      <c r="D88" s="8" t="s">
        <v>57</v>
      </c>
      <c r="E88" s="8" t="s">
        <v>182</v>
      </c>
      <c r="F88" s="8" t="s">
        <v>183</v>
      </c>
      <c r="G88" s="6">
        <f t="shared" si="8"/>
        <v>2580</v>
      </c>
      <c r="H88" s="6">
        <f t="shared" si="9"/>
        <v>2849</v>
      </c>
    </row>
    <row r="89" spans="1:8" x14ac:dyDescent="0.2">
      <c r="A89" s="4" t="s">
        <v>216</v>
      </c>
      <c r="B89" s="8" t="s">
        <v>14</v>
      </c>
      <c r="C89" s="8" t="s">
        <v>15</v>
      </c>
      <c r="D89" s="8" t="s">
        <v>58</v>
      </c>
      <c r="E89" s="8" t="s">
        <v>184</v>
      </c>
      <c r="F89" s="8" t="s">
        <v>185</v>
      </c>
      <c r="G89" s="6">
        <f t="shared" si="8"/>
        <v>2882</v>
      </c>
      <c r="H89" s="6">
        <f t="shared" si="9"/>
        <v>3121</v>
      </c>
    </row>
    <row r="90" spans="1:8" x14ac:dyDescent="0.2">
      <c r="A90" s="4" t="s">
        <v>217</v>
      </c>
      <c r="B90" s="8" t="s">
        <v>14</v>
      </c>
      <c r="C90" s="8" t="s">
        <v>15</v>
      </c>
      <c r="D90" s="8" t="s">
        <v>57</v>
      </c>
      <c r="E90" s="8" t="s">
        <v>186</v>
      </c>
      <c r="F90" s="8" t="s">
        <v>187</v>
      </c>
      <c r="G90" s="6">
        <f t="shared" si="8"/>
        <v>4030</v>
      </c>
      <c r="H90" s="6">
        <f t="shared" si="9"/>
        <v>4269</v>
      </c>
    </row>
    <row r="91" spans="1:8" x14ac:dyDescent="0.2">
      <c r="A91" s="4" t="s">
        <v>218</v>
      </c>
      <c r="B91" s="8" t="s">
        <v>14</v>
      </c>
      <c r="C91" s="8" t="s">
        <v>15</v>
      </c>
      <c r="D91" s="8" t="s">
        <v>58</v>
      </c>
      <c r="E91" s="8" t="s">
        <v>188</v>
      </c>
      <c r="F91" s="8" t="s">
        <v>189</v>
      </c>
      <c r="G91" s="6">
        <f t="shared" si="8"/>
        <v>4332</v>
      </c>
      <c r="H91" s="6">
        <f t="shared" si="9"/>
        <v>4571</v>
      </c>
    </row>
    <row r="92" spans="1:8" x14ac:dyDescent="0.2">
      <c r="A92" s="4" t="s">
        <v>219</v>
      </c>
      <c r="B92" s="8" t="s">
        <v>14</v>
      </c>
      <c r="C92" s="8" t="s">
        <v>16</v>
      </c>
      <c r="D92" s="8" t="s">
        <v>58</v>
      </c>
      <c r="E92" s="8" t="s">
        <v>190</v>
      </c>
      <c r="F92" s="8" t="s">
        <v>191</v>
      </c>
      <c r="G92" s="6">
        <f t="shared" si="8"/>
        <v>5480</v>
      </c>
      <c r="H92" s="6">
        <f t="shared" si="9"/>
        <v>5719</v>
      </c>
    </row>
    <row r="93" spans="1:8" x14ac:dyDescent="0.2">
      <c r="A93" s="4" t="s">
        <v>220</v>
      </c>
      <c r="B93" s="8" t="s">
        <v>14</v>
      </c>
      <c r="C93" s="8" t="s">
        <v>16</v>
      </c>
      <c r="D93" s="8" t="s">
        <v>57</v>
      </c>
      <c r="E93" s="8" t="s">
        <v>192</v>
      </c>
      <c r="F93" s="8" t="s">
        <v>193</v>
      </c>
      <c r="G93" s="6">
        <f t="shared" si="8"/>
        <v>5782</v>
      </c>
      <c r="H93" s="6">
        <f t="shared" si="9"/>
        <v>6021</v>
      </c>
    </row>
    <row r="94" spans="1:8" x14ac:dyDescent="0.2">
      <c r="A94" s="4" t="s">
        <v>221</v>
      </c>
      <c r="B94" s="8" t="s">
        <v>14</v>
      </c>
      <c r="C94" s="8" t="s">
        <v>15</v>
      </c>
      <c r="D94" s="8" t="s">
        <v>58</v>
      </c>
      <c r="E94" s="8" t="s">
        <v>194</v>
      </c>
      <c r="F94" s="8" t="s">
        <v>195</v>
      </c>
      <c r="G94" s="6">
        <f t="shared" si="8"/>
        <v>6924</v>
      </c>
      <c r="H94" s="6">
        <f t="shared" si="9"/>
        <v>7163</v>
      </c>
    </row>
    <row r="95" spans="1:8" x14ac:dyDescent="0.2">
      <c r="A95" s="4" t="s">
        <v>222</v>
      </c>
      <c r="B95" s="8" t="s">
        <v>14</v>
      </c>
      <c r="C95" s="8" t="s">
        <v>15</v>
      </c>
      <c r="D95" s="8" t="s">
        <v>57</v>
      </c>
      <c r="E95" s="8" t="s">
        <v>196</v>
      </c>
      <c r="F95" s="8" t="s">
        <v>197</v>
      </c>
      <c r="G95" s="6">
        <f t="shared" si="8"/>
        <v>7226</v>
      </c>
      <c r="H95" s="6">
        <f t="shared" si="9"/>
        <v>7465</v>
      </c>
    </row>
    <row r="96" spans="1:8" x14ac:dyDescent="0.2">
      <c r="A96" s="4" t="s">
        <v>223</v>
      </c>
      <c r="B96" s="8" t="s">
        <v>14</v>
      </c>
      <c r="C96" s="8" t="s">
        <v>16</v>
      </c>
      <c r="D96" s="8" t="s">
        <v>57</v>
      </c>
      <c r="E96" s="8" t="s">
        <v>198</v>
      </c>
      <c r="F96" s="8" t="s">
        <v>199</v>
      </c>
      <c r="G96" s="6">
        <f t="shared" si="8"/>
        <v>8366</v>
      </c>
      <c r="H96" s="6">
        <f t="shared" si="9"/>
        <v>8605</v>
      </c>
    </row>
    <row r="97" spans="1:8" x14ac:dyDescent="0.2">
      <c r="A97" s="4" t="s">
        <v>224</v>
      </c>
      <c r="B97" s="8" t="s">
        <v>14</v>
      </c>
      <c r="C97" s="8" t="s">
        <v>16</v>
      </c>
      <c r="D97" s="8" t="s">
        <v>58</v>
      </c>
      <c r="E97" s="8" t="s">
        <v>200</v>
      </c>
      <c r="F97" s="8" t="s">
        <v>201</v>
      </c>
      <c r="G97" s="6">
        <f t="shared" si="8"/>
        <v>8668</v>
      </c>
      <c r="H97" s="6">
        <f t="shared" si="9"/>
        <v>8907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40D2-2351-0442-B27E-76241ED21B09}">
  <dimension ref="A1:E21"/>
  <sheetViews>
    <sheetView workbookViewId="0">
      <selection activeCell="G32" sqref="G32"/>
    </sheetView>
  </sheetViews>
  <sheetFormatPr baseColWidth="10" defaultRowHeight="16" x14ac:dyDescent="0.2"/>
  <cols>
    <col min="2" max="2" width="18.83203125" bestFit="1" customWidth="1"/>
    <col min="3" max="3" width="20.5" bestFit="1" customWidth="1"/>
  </cols>
  <sheetData>
    <row r="1" spans="1:5" x14ac:dyDescent="0.2">
      <c r="A1" t="s">
        <v>2</v>
      </c>
      <c r="B1" t="s">
        <v>70</v>
      </c>
      <c r="C1" t="s">
        <v>69</v>
      </c>
      <c r="D1" t="s">
        <v>0</v>
      </c>
      <c r="E1" t="s">
        <v>1</v>
      </c>
    </row>
    <row r="2" spans="1:5" x14ac:dyDescent="0.2">
      <c r="A2">
        <v>1</v>
      </c>
      <c r="B2" t="s">
        <v>59</v>
      </c>
      <c r="C2" t="s">
        <v>60</v>
      </c>
      <c r="D2" s="1">
        <v>231</v>
      </c>
      <c r="E2" s="1">
        <v>310</v>
      </c>
    </row>
    <row r="3" spans="1:5" x14ac:dyDescent="0.2">
      <c r="A3">
        <v>2</v>
      </c>
      <c r="B3" t="s">
        <v>61</v>
      </c>
      <c r="C3" t="s">
        <v>62</v>
      </c>
      <c r="D3" s="1">
        <v>431</v>
      </c>
      <c r="E3" s="1">
        <v>520</v>
      </c>
    </row>
    <row r="4" spans="1:5" x14ac:dyDescent="0.2">
      <c r="A4">
        <v>3</v>
      </c>
      <c r="B4" t="s">
        <v>63</v>
      </c>
      <c r="C4" t="s">
        <v>64</v>
      </c>
      <c r="D4" s="1">
        <v>662</v>
      </c>
      <c r="E4" s="1">
        <v>730</v>
      </c>
    </row>
    <row r="5" spans="1:5" x14ac:dyDescent="0.2">
      <c r="A5">
        <v>4</v>
      </c>
      <c r="B5" t="s">
        <v>65</v>
      </c>
      <c r="C5" t="s">
        <v>66</v>
      </c>
      <c r="D5" s="1">
        <v>850</v>
      </c>
      <c r="E5" s="1">
        <v>940</v>
      </c>
    </row>
    <row r="6" spans="1:5" x14ac:dyDescent="0.2">
      <c r="A6">
        <v>5</v>
      </c>
      <c r="B6" t="s">
        <v>67</v>
      </c>
      <c r="C6" t="s">
        <v>68</v>
      </c>
      <c r="D6" s="1">
        <v>1065</v>
      </c>
      <c r="E6" s="1">
        <v>1150</v>
      </c>
    </row>
    <row r="7" spans="1:5" x14ac:dyDescent="0.2">
      <c r="A7">
        <v>6</v>
      </c>
      <c r="B7" t="s">
        <v>61</v>
      </c>
      <c r="C7" t="s">
        <v>71</v>
      </c>
      <c r="D7" s="1">
        <v>1273</v>
      </c>
      <c r="E7" s="1">
        <v>1360</v>
      </c>
    </row>
    <row r="8" spans="1:5" x14ac:dyDescent="0.2">
      <c r="A8">
        <v>7</v>
      </c>
      <c r="B8" t="s">
        <v>67</v>
      </c>
      <c r="C8" t="s">
        <v>72</v>
      </c>
      <c r="D8" s="1">
        <v>1493</v>
      </c>
      <c r="E8" s="1">
        <v>1570</v>
      </c>
    </row>
    <row r="9" spans="1:5" x14ac:dyDescent="0.2">
      <c r="A9">
        <v>8</v>
      </c>
      <c r="B9" t="s">
        <v>63</v>
      </c>
      <c r="C9" t="s">
        <v>73</v>
      </c>
      <c r="D9" s="1">
        <v>1702</v>
      </c>
      <c r="E9" s="1">
        <v>1780</v>
      </c>
    </row>
    <row r="10" spans="1:5" x14ac:dyDescent="0.2">
      <c r="A10">
        <v>9</v>
      </c>
      <c r="B10" t="s">
        <v>59</v>
      </c>
      <c r="C10" t="s">
        <v>74</v>
      </c>
      <c r="D10" s="1">
        <v>1902</v>
      </c>
      <c r="E10" s="1">
        <v>1990</v>
      </c>
    </row>
    <row r="11" spans="1:5" x14ac:dyDescent="0.2">
      <c r="A11">
        <v>10</v>
      </c>
      <c r="B11" t="s">
        <v>65</v>
      </c>
      <c r="C11" t="s">
        <v>75</v>
      </c>
      <c r="D11" s="1">
        <v>2117</v>
      </c>
      <c r="E11" s="1">
        <v>2201</v>
      </c>
    </row>
    <row r="12" spans="1:5" x14ac:dyDescent="0.2">
      <c r="A12">
        <f>A11+1</f>
        <v>11</v>
      </c>
      <c r="B12" t="s">
        <v>59</v>
      </c>
      <c r="C12" t="s">
        <v>60</v>
      </c>
      <c r="D12" s="1">
        <v>2325</v>
      </c>
      <c r="E12" s="1">
        <v>2412</v>
      </c>
    </row>
    <row r="13" spans="1:5" x14ac:dyDescent="0.2">
      <c r="A13">
        <f t="shared" ref="A13:A21" si="0">A12+1</f>
        <v>12</v>
      </c>
      <c r="B13" t="s">
        <v>61</v>
      </c>
      <c r="C13" t="s">
        <v>62</v>
      </c>
      <c r="D13" s="1">
        <v>2536</v>
      </c>
      <c r="E13" s="1">
        <v>2622</v>
      </c>
    </row>
    <row r="14" spans="1:5" x14ac:dyDescent="0.2">
      <c r="A14">
        <f t="shared" si="0"/>
        <v>13</v>
      </c>
      <c r="B14" t="s">
        <v>65</v>
      </c>
      <c r="C14" t="s">
        <v>66</v>
      </c>
      <c r="D14" s="1">
        <v>2748</v>
      </c>
      <c r="E14" s="1">
        <v>2832</v>
      </c>
    </row>
    <row r="15" spans="1:5" x14ac:dyDescent="0.2">
      <c r="A15">
        <f t="shared" si="0"/>
        <v>14</v>
      </c>
      <c r="B15" t="s">
        <v>63</v>
      </c>
      <c r="C15" t="s">
        <v>64</v>
      </c>
      <c r="D15" s="1">
        <v>2973</v>
      </c>
      <c r="E15" s="1">
        <v>3042</v>
      </c>
    </row>
    <row r="16" spans="1:5" x14ac:dyDescent="0.2">
      <c r="A16">
        <f t="shared" si="0"/>
        <v>15</v>
      </c>
      <c r="B16" t="s">
        <v>67</v>
      </c>
      <c r="C16" t="s">
        <v>68</v>
      </c>
      <c r="D16" s="1">
        <v>3167</v>
      </c>
      <c r="E16" s="1">
        <v>3252</v>
      </c>
    </row>
    <row r="17" spans="1:5" x14ac:dyDescent="0.2">
      <c r="A17">
        <f t="shared" si="0"/>
        <v>16</v>
      </c>
      <c r="B17" t="s">
        <v>63</v>
      </c>
      <c r="C17" t="s">
        <v>73</v>
      </c>
      <c r="D17" s="1">
        <v>3383</v>
      </c>
      <c r="E17" s="1">
        <v>3460</v>
      </c>
    </row>
    <row r="18" spans="1:5" x14ac:dyDescent="0.2">
      <c r="A18">
        <f t="shared" si="0"/>
        <v>17</v>
      </c>
      <c r="B18" t="s">
        <v>61</v>
      </c>
      <c r="C18" t="s">
        <v>71</v>
      </c>
      <c r="D18" s="1">
        <v>3584</v>
      </c>
      <c r="E18" s="1">
        <v>3670</v>
      </c>
    </row>
    <row r="19" spans="1:5" x14ac:dyDescent="0.2">
      <c r="A19">
        <f t="shared" si="0"/>
        <v>18</v>
      </c>
      <c r="B19" t="s">
        <v>67</v>
      </c>
      <c r="C19" t="s">
        <v>72</v>
      </c>
      <c r="D19" s="1">
        <v>3806</v>
      </c>
      <c r="E19" s="1">
        <v>3880</v>
      </c>
    </row>
    <row r="20" spans="1:5" x14ac:dyDescent="0.2">
      <c r="A20">
        <f t="shared" si="0"/>
        <v>19</v>
      </c>
      <c r="B20" t="s">
        <v>59</v>
      </c>
      <c r="C20" t="s">
        <v>74</v>
      </c>
      <c r="D20" s="1">
        <v>4001</v>
      </c>
      <c r="E20" s="1">
        <v>4090</v>
      </c>
    </row>
    <row r="21" spans="1:5" x14ac:dyDescent="0.2">
      <c r="A21">
        <f t="shared" si="0"/>
        <v>20</v>
      </c>
      <c r="B21" t="s">
        <v>65</v>
      </c>
      <c r="C21" t="s">
        <v>75</v>
      </c>
      <c r="D21" s="1">
        <v>4217</v>
      </c>
      <c r="E21" s="1">
        <v>4300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2EC6-FBC4-384D-8EF7-4158DEE7776E}">
  <dimension ref="A1:H21"/>
  <sheetViews>
    <sheetView tabSelected="1" workbookViewId="0">
      <selection activeCell="H23" sqref="H23"/>
    </sheetView>
  </sheetViews>
  <sheetFormatPr baseColWidth="10" defaultRowHeight="16" x14ac:dyDescent="0.2"/>
  <cols>
    <col min="2" max="2" width="18.83203125" bestFit="1" customWidth="1"/>
    <col min="3" max="3" width="20.5" bestFit="1" customWidth="1"/>
    <col min="4" max="4" width="15.83203125" bestFit="1" customWidth="1"/>
    <col min="6" max="6" width="14" customWidth="1"/>
    <col min="7" max="7" width="13.83203125" customWidth="1"/>
  </cols>
  <sheetData>
    <row r="1" spans="1:8" x14ac:dyDescent="0.2">
      <c r="A1" t="s">
        <v>2</v>
      </c>
      <c r="B1" t="s">
        <v>70</v>
      </c>
      <c r="C1" t="s">
        <v>69</v>
      </c>
      <c r="D1" t="s">
        <v>0</v>
      </c>
      <c r="E1" t="s">
        <v>286</v>
      </c>
      <c r="F1" t="s">
        <v>287</v>
      </c>
      <c r="G1" t="s">
        <v>288</v>
      </c>
    </row>
    <row r="2" spans="1:8" x14ac:dyDescent="0.2">
      <c r="A2">
        <v>1</v>
      </c>
      <c r="B2" t="s">
        <v>59</v>
      </c>
      <c r="C2" t="s">
        <v>60</v>
      </c>
      <c r="D2">
        <v>160</v>
      </c>
      <c r="E2" s="1">
        <v>310</v>
      </c>
      <c r="F2">
        <v>208</v>
      </c>
      <c r="G2">
        <v>228</v>
      </c>
      <c r="H2" s="1"/>
    </row>
    <row r="3" spans="1:8" x14ac:dyDescent="0.2">
      <c r="A3">
        <v>2</v>
      </c>
      <c r="B3" t="s">
        <v>61</v>
      </c>
      <c r="C3" t="s">
        <v>62</v>
      </c>
      <c r="D3">
        <v>370</v>
      </c>
      <c r="E3" s="1">
        <v>520</v>
      </c>
      <c r="F3">
        <v>418</v>
      </c>
      <c r="G3">
        <v>437</v>
      </c>
      <c r="H3" s="1"/>
    </row>
    <row r="4" spans="1:8" x14ac:dyDescent="0.2">
      <c r="A4">
        <v>3</v>
      </c>
      <c r="B4" t="s">
        <v>63</v>
      </c>
      <c r="C4" t="s">
        <v>64</v>
      </c>
      <c r="D4">
        <v>580</v>
      </c>
      <c r="E4" s="1">
        <v>730</v>
      </c>
      <c r="F4">
        <v>635</v>
      </c>
      <c r="G4">
        <v>664</v>
      </c>
      <c r="H4" s="1"/>
    </row>
    <row r="5" spans="1:8" x14ac:dyDescent="0.2">
      <c r="A5">
        <v>4</v>
      </c>
      <c r="B5" t="s">
        <v>65</v>
      </c>
      <c r="C5" t="s">
        <v>66</v>
      </c>
      <c r="D5">
        <v>790</v>
      </c>
      <c r="E5" s="1">
        <v>940</v>
      </c>
      <c r="F5">
        <v>835</v>
      </c>
      <c r="G5">
        <v>853</v>
      </c>
      <c r="H5" s="1"/>
    </row>
    <row r="6" spans="1:8" x14ac:dyDescent="0.2">
      <c r="A6">
        <v>5</v>
      </c>
      <c r="B6" t="s">
        <v>67</v>
      </c>
      <c r="C6" t="s">
        <v>68</v>
      </c>
      <c r="D6">
        <v>1000</v>
      </c>
      <c r="E6" s="1">
        <v>1150</v>
      </c>
      <c r="F6">
        <v>1049</v>
      </c>
      <c r="G6">
        <v>1067</v>
      </c>
      <c r="H6" s="1"/>
    </row>
    <row r="7" spans="1:8" x14ac:dyDescent="0.2">
      <c r="A7">
        <v>6</v>
      </c>
      <c r="B7" t="s">
        <v>61</v>
      </c>
      <c r="C7" t="s">
        <v>71</v>
      </c>
      <c r="D7">
        <v>1211</v>
      </c>
      <c r="E7" s="1">
        <v>1361</v>
      </c>
      <c r="F7">
        <v>1258</v>
      </c>
      <c r="G7">
        <v>1274</v>
      </c>
      <c r="H7" s="1"/>
    </row>
    <row r="8" spans="1:8" x14ac:dyDescent="0.2">
      <c r="A8">
        <v>7</v>
      </c>
      <c r="B8" t="s">
        <v>67</v>
      </c>
      <c r="C8" t="s">
        <v>72</v>
      </c>
      <c r="D8">
        <v>1421</v>
      </c>
      <c r="E8" s="1">
        <v>1571</v>
      </c>
      <c r="F8">
        <v>1466</v>
      </c>
      <c r="G8">
        <v>1495</v>
      </c>
      <c r="H8" s="1"/>
    </row>
    <row r="9" spans="1:8" x14ac:dyDescent="0.2">
      <c r="A9">
        <v>8</v>
      </c>
      <c r="B9" t="s">
        <v>63</v>
      </c>
      <c r="C9" t="s">
        <v>73</v>
      </c>
      <c r="D9">
        <v>1631</v>
      </c>
      <c r="E9" s="1">
        <v>1781</v>
      </c>
      <c r="F9">
        <v>1679</v>
      </c>
      <c r="G9">
        <v>1703</v>
      </c>
      <c r="H9" s="1"/>
    </row>
    <row r="10" spans="1:8" x14ac:dyDescent="0.2">
      <c r="A10">
        <v>9</v>
      </c>
      <c r="B10" t="s">
        <v>59</v>
      </c>
      <c r="C10" t="s">
        <v>74</v>
      </c>
      <c r="D10">
        <v>1841</v>
      </c>
      <c r="E10" s="1">
        <v>1991</v>
      </c>
      <c r="F10">
        <v>1885</v>
      </c>
      <c r="G10">
        <v>1903</v>
      </c>
      <c r="H10" s="1"/>
    </row>
    <row r="11" spans="1:8" x14ac:dyDescent="0.2">
      <c r="A11">
        <v>10</v>
      </c>
      <c r="B11" t="s">
        <v>65</v>
      </c>
      <c r="C11" t="s">
        <v>75</v>
      </c>
      <c r="D11">
        <v>2051</v>
      </c>
      <c r="E11" s="1">
        <v>2201</v>
      </c>
      <c r="F11">
        <v>2099</v>
      </c>
      <c r="G11">
        <v>2118</v>
      </c>
      <c r="H11" s="1"/>
    </row>
    <row r="12" spans="1:8" x14ac:dyDescent="0.2">
      <c r="A12">
        <f>A11+1</f>
        <v>11</v>
      </c>
      <c r="B12" t="s">
        <v>59</v>
      </c>
      <c r="C12" t="s">
        <v>60</v>
      </c>
      <c r="D12">
        <v>2262</v>
      </c>
      <c r="E12" s="1">
        <v>2412</v>
      </c>
      <c r="F12">
        <v>2308</v>
      </c>
      <c r="G12">
        <v>2328</v>
      </c>
      <c r="H12" s="1"/>
    </row>
    <row r="13" spans="1:8" x14ac:dyDescent="0.2">
      <c r="A13">
        <f t="shared" ref="A13:A21" si="0">A12+1</f>
        <v>12</v>
      </c>
      <c r="B13" t="s">
        <v>61</v>
      </c>
      <c r="C13" t="s">
        <v>62</v>
      </c>
      <c r="D13">
        <v>2472</v>
      </c>
      <c r="E13" s="1">
        <v>2622</v>
      </c>
      <c r="F13">
        <v>2518</v>
      </c>
      <c r="G13">
        <v>2537</v>
      </c>
      <c r="H13" s="1"/>
    </row>
    <row r="14" spans="1:8" x14ac:dyDescent="0.2">
      <c r="A14">
        <f t="shared" si="0"/>
        <v>13</v>
      </c>
      <c r="B14" t="s">
        <v>65</v>
      </c>
      <c r="C14" t="s">
        <v>66</v>
      </c>
      <c r="D14">
        <v>2682</v>
      </c>
      <c r="E14" s="1">
        <v>2832</v>
      </c>
      <c r="F14">
        <v>2730</v>
      </c>
      <c r="G14">
        <v>2748</v>
      </c>
      <c r="H14" s="1"/>
    </row>
    <row r="15" spans="1:8" x14ac:dyDescent="0.2">
      <c r="A15">
        <f t="shared" si="0"/>
        <v>14</v>
      </c>
      <c r="B15" t="s">
        <v>63</v>
      </c>
      <c r="C15" t="s">
        <v>64</v>
      </c>
      <c r="D15">
        <v>2892</v>
      </c>
      <c r="E15" s="1">
        <v>3042</v>
      </c>
      <c r="F15">
        <v>2944</v>
      </c>
      <c r="G15">
        <v>2973</v>
      </c>
      <c r="H15" s="1"/>
    </row>
    <row r="16" spans="1:8" x14ac:dyDescent="0.2">
      <c r="A16">
        <f t="shared" si="0"/>
        <v>15</v>
      </c>
      <c r="B16" t="s">
        <v>67</v>
      </c>
      <c r="C16" t="s">
        <v>68</v>
      </c>
      <c r="D16">
        <v>3102</v>
      </c>
      <c r="E16" s="1">
        <v>3252</v>
      </c>
      <c r="F16">
        <v>3150</v>
      </c>
      <c r="G16">
        <v>3167</v>
      </c>
      <c r="H16" s="1"/>
    </row>
    <row r="17" spans="1:8" x14ac:dyDescent="0.2">
      <c r="A17">
        <f t="shared" si="0"/>
        <v>16</v>
      </c>
      <c r="B17" t="s">
        <v>63</v>
      </c>
      <c r="C17" t="s">
        <v>73</v>
      </c>
      <c r="D17">
        <v>3311</v>
      </c>
      <c r="E17" s="1">
        <v>3461</v>
      </c>
      <c r="F17">
        <v>3358</v>
      </c>
      <c r="G17">
        <v>3383</v>
      </c>
      <c r="H17" s="1"/>
    </row>
    <row r="18" spans="1:8" x14ac:dyDescent="0.2">
      <c r="A18">
        <f t="shared" si="0"/>
        <v>17</v>
      </c>
      <c r="B18" t="s">
        <v>61</v>
      </c>
      <c r="C18" t="s">
        <v>71</v>
      </c>
      <c r="D18">
        <v>3521</v>
      </c>
      <c r="E18" s="1">
        <v>3671</v>
      </c>
      <c r="F18">
        <v>3565</v>
      </c>
      <c r="G18">
        <v>3584</v>
      </c>
      <c r="H18" s="1"/>
    </row>
    <row r="19" spans="1:8" x14ac:dyDescent="0.2">
      <c r="A19">
        <f t="shared" si="0"/>
        <v>18</v>
      </c>
      <c r="B19" t="s">
        <v>67</v>
      </c>
      <c r="C19" t="s">
        <v>72</v>
      </c>
      <c r="D19">
        <v>3731</v>
      </c>
      <c r="E19" s="1">
        <v>3881</v>
      </c>
      <c r="F19">
        <v>3775</v>
      </c>
      <c r="G19">
        <v>3806</v>
      </c>
      <c r="H19" s="1"/>
    </row>
    <row r="20" spans="1:8" x14ac:dyDescent="0.2">
      <c r="A20">
        <f t="shared" si="0"/>
        <v>19</v>
      </c>
      <c r="B20" t="s">
        <v>59</v>
      </c>
      <c r="C20" t="s">
        <v>74</v>
      </c>
      <c r="D20">
        <v>3941</v>
      </c>
      <c r="E20" s="1">
        <v>4091</v>
      </c>
      <c r="F20">
        <v>3981</v>
      </c>
      <c r="G20">
        <v>4001</v>
      </c>
      <c r="H20" s="1"/>
    </row>
    <row r="21" spans="1:8" x14ac:dyDescent="0.2">
      <c r="A21">
        <f t="shared" si="0"/>
        <v>20</v>
      </c>
      <c r="B21" t="s">
        <v>65</v>
      </c>
      <c r="C21" t="s">
        <v>75</v>
      </c>
      <c r="D21">
        <v>4151</v>
      </c>
      <c r="E21" s="1">
        <v>4301</v>
      </c>
      <c r="F21">
        <v>4197</v>
      </c>
      <c r="G21">
        <v>4218</v>
      </c>
      <c r="H2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F0A5-A8EE-604E-9491-0D3375FD8BBF}">
  <dimension ref="A1:H17"/>
  <sheetViews>
    <sheetView workbookViewId="0">
      <selection activeCell="I1" sqref="I1:J1048576"/>
    </sheetView>
  </sheetViews>
  <sheetFormatPr baseColWidth="10" defaultRowHeight="16" x14ac:dyDescent="0.2"/>
  <cols>
    <col min="1" max="1" width="13.6640625" bestFit="1" customWidth="1"/>
    <col min="2" max="2" width="14.33203125" bestFit="1" customWidth="1"/>
    <col min="3" max="3" width="14.6640625" bestFit="1" customWidth="1"/>
    <col min="4" max="4" width="17.1640625" bestFit="1" customWidth="1"/>
    <col min="5" max="5" width="16.33203125" bestFit="1" customWidth="1"/>
    <col min="6" max="6" width="17.1640625" bestFit="1" customWidth="1"/>
    <col min="7" max="7" width="17.33203125" bestFit="1" customWidth="1"/>
  </cols>
  <sheetData>
    <row r="1" spans="1:8" x14ac:dyDescent="0.2">
      <c r="A1" s="4" t="s">
        <v>2</v>
      </c>
      <c r="B1" s="4" t="s">
        <v>76</v>
      </c>
      <c r="C1" s="4" t="s">
        <v>77</v>
      </c>
      <c r="D1" s="4" t="s">
        <v>3</v>
      </c>
      <c r="E1" s="4" t="s">
        <v>204</v>
      </c>
      <c r="F1" s="4" t="s">
        <v>234</v>
      </c>
      <c r="G1" s="4" t="s">
        <v>0</v>
      </c>
      <c r="H1" s="4" t="s">
        <v>1</v>
      </c>
    </row>
    <row r="2" spans="1:8" x14ac:dyDescent="0.2">
      <c r="A2" s="8">
        <v>1</v>
      </c>
      <c r="B2" s="8" t="s">
        <v>225</v>
      </c>
      <c r="C2" s="8" t="s">
        <v>226</v>
      </c>
      <c r="D2" s="8" t="s">
        <v>227</v>
      </c>
      <c r="E2" s="8" t="s">
        <v>205</v>
      </c>
      <c r="F2" s="8" t="s">
        <v>206</v>
      </c>
      <c r="G2" s="8">
        <v>182</v>
      </c>
      <c r="H2" s="8">
        <v>815</v>
      </c>
    </row>
    <row r="3" spans="1:8" x14ac:dyDescent="0.2">
      <c r="A3" s="8">
        <v>2</v>
      </c>
      <c r="B3" s="8" t="s">
        <v>225</v>
      </c>
      <c r="C3" s="8" t="s">
        <v>226</v>
      </c>
      <c r="D3" s="8" t="s">
        <v>228</v>
      </c>
      <c r="E3" s="8" t="s">
        <v>207</v>
      </c>
      <c r="F3" s="8" t="s">
        <v>208</v>
      </c>
      <c r="G3" s="8">
        <v>998</v>
      </c>
      <c r="H3" s="8">
        <v>1601</v>
      </c>
    </row>
    <row r="4" spans="1:8" x14ac:dyDescent="0.2">
      <c r="A4" s="8">
        <v>3</v>
      </c>
      <c r="B4" s="8" t="s">
        <v>225</v>
      </c>
      <c r="C4" s="8" t="s">
        <v>226</v>
      </c>
      <c r="D4" s="8" t="s">
        <v>227</v>
      </c>
      <c r="E4" s="8" t="s">
        <v>209</v>
      </c>
      <c r="F4" s="8" t="s">
        <v>210</v>
      </c>
      <c r="G4" s="8">
        <v>1878</v>
      </c>
      <c r="H4" s="8">
        <v>2417</v>
      </c>
    </row>
    <row r="5" spans="1:8" x14ac:dyDescent="0.2">
      <c r="A5" s="8">
        <v>4</v>
      </c>
      <c r="B5" s="8" t="s">
        <v>225</v>
      </c>
      <c r="C5" s="8" t="s">
        <v>226</v>
      </c>
      <c r="D5" s="8" t="s">
        <v>228</v>
      </c>
      <c r="E5" s="8" t="s">
        <v>211</v>
      </c>
      <c r="F5" s="8" t="s">
        <v>212</v>
      </c>
      <c r="G5" s="8">
        <v>2620</v>
      </c>
      <c r="H5" s="8">
        <v>3183</v>
      </c>
    </row>
    <row r="6" spans="1:8" x14ac:dyDescent="0.2">
      <c r="A6" s="8">
        <v>1</v>
      </c>
      <c r="B6" s="8" t="s">
        <v>229</v>
      </c>
      <c r="C6" s="8" t="s">
        <v>226</v>
      </c>
      <c r="D6" s="8" t="s">
        <v>228</v>
      </c>
      <c r="E6" s="8" t="s">
        <v>205</v>
      </c>
      <c r="F6" s="8" t="s">
        <v>206</v>
      </c>
      <c r="G6" s="8">
        <v>182</v>
      </c>
      <c r="H6" s="8">
        <v>815</v>
      </c>
    </row>
    <row r="7" spans="1:8" x14ac:dyDescent="0.2">
      <c r="A7" s="8">
        <v>2</v>
      </c>
      <c r="B7" s="8" t="s">
        <v>229</v>
      </c>
      <c r="C7" s="8" t="s">
        <v>226</v>
      </c>
      <c r="D7" s="8" t="s">
        <v>227</v>
      </c>
      <c r="E7" s="8" t="s">
        <v>207</v>
      </c>
      <c r="F7" s="8" t="s">
        <v>208</v>
      </c>
      <c r="G7" s="8">
        <v>998</v>
      </c>
      <c r="H7" s="8">
        <v>1601</v>
      </c>
    </row>
    <row r="8" spans="1:8" x14ac:dyDescent="0.2">
      <c r="A8" s="8">
        <v>3</v>
      </c>
      <c r="B8" s="8" t="s">
        <v>229</v>
      </c>
      <c r="C8" s="8" t="s">
        <v>226</v>
      </c>
      <c r="D8" s="8" t="s">
        <v>228</v>
      </c>
      <c r="E8" s="8" t="s">
        <v>209</v>
      </c>
      <c r="F8" s="8" t="s">
        <v>210</v>
      </c>
      <c r="G8" s="8">
        <v>1878</v>
      </c>
      <c r="H8" s="8">
        <v>2417</v>
      </c>
    </row>
    <row r="9" spans="1:8" x14ac:dyDescent="0.2">
      <c r="A9" s="8">
        <v>4</v>
      </c>
      <c r="B9" s="8" t="s">
        <v>229</v>
      </c>
      <c r="C9" s="8" t="s">
        <v>226</v>
      </c>
      <c r="D9" s="8" t="s">
        <v>227</v>
      </c>
      <c r="E9" s="8" t="s">
        <v>211</v>
      </c>
      <c r="F9" s="8" t="s">
        <v>212</v>
      </c>
      <c r="G9" s="8">
        <v>2620</v>
      </c>
      <c r="H9" s="8">
        <v>3183</v>
      </c>
    </row>
    <row r="10" spans="1:8" x14ac:dyDescent="0.2">
      <c r="A10" s="8">
        <v>1</v>
      </c>
      <c r="B10" s="8" t="s">
        <v>230</v>
      </c>
      <c r="C10" s="8" t="s">
        <v>231</v>
      </c>
      <c r="D10" s="8" t="s">
        <v>227</v>
      </c>
      <c r="E10" s="8" t="s">
        <v>205</v>
      </c>
      <c r="F10" s="8" t="s">
        <v>206</v>
      </c>
      <c r="G10" s="8">
        <v>182</v>
      </c>
      <c r="H10" s="8">
        <v>815</v>
      </c>
    </row>
    <row r="11" spans="1:8" x14ac:dyDescent="0.2">
      <c r="A11" s="8">
        <v>2</v>
      </c>
      <c r="B11" s="8" t="s">
        <v>230</v>
      </c>
      <c r="C11" s="8" t="s">
        <v>231</v>
      </c>
      <c r="D11" s="8" t="s">
        <v>228</v>
      </c>
      <c r="E11" s="8" t="s">
        <v>207</v>
      </c>
      <c r="F11" s="8" t="s">
        <v>208</v>
      </c>
      <c r="G11" s="8">
        <v>998</v>
      </c>
      <c r="H11" s="8">
        <v>1601</v>
      </c>
    </row>
    <row r="12" spans="1:8" x14ac:dyDescent="0.2">
      <c r="A12" s="8">
        <v>3</v>
      </c>
      <c r="B12" s="8" t="s">
        <v>230</v>
      </c>
      <c r="C12" s="8" t="s">
        <v>231</v>
      </c>
      <c r="D12" s="8" t="s">
        <v>227</v>
      </c>
      <c r="E12" s="8" t="s">
        <v>209</v>
      </c>
      <c r="F12" s="8" t="s">
        <v>210</v>
      </c>
      <c r="G12" s="8">
        <v>1878</v>
      </c>
      <c r="H12" s="8">
        <v>2417</v>
      </c>
    </row>
    <row r="13" spans="1:8" x14ac:dyDescent="0.2">
      <c r="A13" s="8">
        <v>4</v>
      </c>
      <c r="B13" s="8" t="s">
        <v>230</v>
      </c>
      <c r="C13" s="8" t="s">
        <v>231</v>
      </c>
      <c r="D13" s="8" t="s">
        <v>228</v>
      </c>
      <c r="E13" s="8" t="s">
        <v>211</v>
      </c>
      <c r="F13" s="8" t="s">
        <v>212</v>
      </c>
      <c r="G13" s="8">
        <v>2620</v>
      </c>
      <c r="H13" s="8">
        <v>3183</v>
      </c>
    </row>
    <row r="14" spans="1:8" x14ac:dyDescent="0.2">
      <c r="A14" s="8">
        <v>1</v>
      </c>
      <c r="B14" s="8" t="s">
        <v>232</v>
      </c>
      <c r="C14" s="8" t="s">
        <v>231</v>
      </c>
      <c r="D14" s="8" t="s">
        <v>228</v>
      </c>
      <c r="E14" s="8" t="s">
        <v>205</v>
      </c>
      <c r="F14" s="8" t="s">
        <v>206</v>
      </c>
      <c r="G14" s="8">
        <v>182</v>
      </c>
      <c r="H14" s="8">
        <v>815</v>
      </c>
    </row>
    <row r="15" spans="1:8" x14ac:dyDescent="0.2">
      <c r="A15" s="8">
        <v>2</v>
      </c>
      <c r="B15" s="8" t="s">
        <v>232</v>
      </c>
      <c r="C15" s="8" t="s">
        <v>231</v>
      </c>
      <c r="D15" s="8" t="s">
        <v>227</v>
      </c>
      <c r="E15" s="8" t="s">
        <v>207</v>
      </c>
      <c r="F15" s="8" t="s">
        <v>208</v>
      </c>
      <c r="G15" s="8">
        <v>998</v>
      </c>
      <c r="H15" s="8">
        <v>1601</v>
      </c>
    </row>
    <row r="16" spans="1:8" x14ac:dyDescent="0.2">
      <c r="A16" s="8">
        <v>3</v>
      </c>
      <c r="B16" s="8" t="s">
        <v>232</v>
      </c>
      <c r="C16" s="8" t="s">
        <v>231</v>
      </c>
      <c r="D16" s="8" t="s">
        <v>233</v>
      </c>
      <c r="E16" s="8" t="s">
        <v>209</v>
      </c>
      <c r="F16" s="8" t="s">
        <v>210</v>
      </c>
      <c r="G16" s="8">
        <v>1878</v>
      </c>
      <c r="H16" s="8">
        <v>2417</v>
      </c>
    </row>
    <row r="17" spans="1:8" x14ac:dyDescent="0.2">
      <c r="A17" s="8">
        <v>4</v>
      </c>
      <c r="B17" s="8" t="s">
        <v>232</v>
      </c>
      <c r="C17" s="8" t="s">
        <v>231</v>
      </c>
      <c r="D17" s="8" t="s">
        <v>227</v>
      </c>
      <c r="E17" s="8" t="s">
        <v>211</v>
      </c>
      <c r="F17" s="8" t="s">
        <v>212</v>
      </c>
      <c r="G17" s="8">
        <v>2620</v>
      </c>
      <c r="H17" s="8">
        <v>3183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113F-202D-B04C-996D-E55AD1706AE8}">
  <dimension ref="A1:H114"/>
  <sheetViews>
    <sheetView workbookViewId="0">
      <selection activeCell="H5" sqref="H5"/>
    </sheetView>
  </sheetViews>
  <sheetFormatPr baseColWidth="10" defaultRowHeight="16" x14ac:dyDescent="0.2"/>
  <cols>
    <col min="1" max="1" width="13.6640625" bestFit="1" customWidth="1"/>
    <col min="2" max="2" width="10.83203125" style="3" bestFit="1" customWidth="1"/>
    <col min="3" max="3" width="13.5" bestFit="1" customWidth="1"/>
    <col min="4" max="5" width="12" bestFit="1" customWidth="1"/>
    <col min="6" max="6" width="20.5" bestFit="1" customWidth="1"/>
    <col min="7" max="8" width="14.6640625" style="3" bestFit="1" customWidth="1"/>
  </cols>
  <sheetData>
    <row r="1" spans="1:8" x14ac:dyDescent="0.2">
      <c r="A1" s="4" t="s">
        <v>2</v>
      </c>
      <c r="B1" s="4" t="s">
        <v>76</v>
      </c>
      <c r="C1" s="4" t="s">
        <v>3</v>
      </c>
      <c r="D1" s="4" t="s">
        <v>235</v>
      </c>
      <c r="E1" s="4" t="s">
        <v>236</v>
      </c>
      <c r="F1" s="4" t="s">
        <v>279</v>
      </c>
      <c r="G1" t="s">
        <v>0</v>
      </c>
      <c r="H1" t="s">
        <v>1</v>
      </c>
    </row>
    <row r="2" spans="1:8" x14ac:dyDescent="0.2">
      <c r="A2" s="8">
        <v>1</v>
      </c>
      <c r="B2" s="8" t="s">
        <v>237</v>
      </c>
      <c r="C2" s="8" t="s">
        <v>238</v>
      </c>
      <c r="D2" s="8" t="s">
        <v>239</v>
      </c>
      <c r="E2" s="8" t="s">
        <v>240</v>
      </c>
      <c r="F2" s="8" t="s">
        <v>238</v>
      </c>
      <c r="G2" s="6">
        <f>LEFT(D2,2)*3600*30 + MID(D2,4,2)*60*30 + MID(D2,7,2)*30 + RIGHT(D2,2)</f>
        <v>186</v>
      </c>
      <c r="H2" s="6">
        <f>LEFT(E2,2)*3600*30 + MID(E2,4,2)*60*30 + MID(E2,7,2)*30 + RIGHT(E2,2)</f>
        <v>846</v>
      </c>
    </row>
    <row r="3" spans="1:8" x14ac:dyDescent="0.2">
      <c r="A3" s="8">
        <v>2</v>
      </c>
      <c r="B3" s="8" t="s">
        <v>237</v>
      </c>
      <c r="C3" s="8" t="s">
        <v>241</v>
      </c>
      <c r="D3" s="8" t="s">
        <v>242</v>
      </c>
      <c r="E3" s="8" t="s">
        <v>243</v>
      </c>
      <c r="F3" s="8" t="s">
        <v>241</v>
      </c>
      <c r="G3" s="6">
        <f t="shared" ref="G3:H66" si="0">LEFT(D3,2)*3600*30 + MID(D3,4,2)*60*30 + MID(D3,7,2)*30 + RIGHT(D3,2)</f>
        <v>906</v>
      </c>
      <c r="H3" s="6">
        <f t="shared" si="0"/>
        <v>1560</v>
      </c>
    </row>
    <row r="4" spans="1:8" x14ac:dyDescent="0.2">
      <c r="A4" s="8">
        <v>3</v>
      </c>
      <c r="B4" s="8" t="s">
        <v>237</v>
      </c>
      <c r="C4" s="8" t="s">
        <v>244</v>
      </c>
      <c r="D4" s="8" t="s">
        <v>245</v>
      </c>
      <c r="E4" s="8" t="s">
        <v>246</v>
      </c>
      <c r="F4" s="8" t="s">
        <v>244</v>
      </c>
      <c r="G4" s="6">
        <f t="shared" si="0"/>
        <v>1620</v>
      </c>
      <c r="H4" s="6">
        <f t="shared" si="0"/>
        <v>2273</v>
      </c>
    </row>
    <row r="5" spans="1:8" x14ac:dyDescent="0.2">
      <c r="A5" s="8">
        <v>4</v>
      </c>
      <c r="B5" s="8" t="s">
        <v>237</v>
      </c>
      <c r="C5" s="8" t="s">
        <v>241</v>
      </c>
      <c r="D5" s="8" t="s">
        <v>247</v>
      </c>
      <c r="E5" s="8" t="s">
        <v>248</v>
      </c>
      <c r="F5" s="8" t="s">
        <v>241</v>
      </c>
      <c r="G5" s="6">
        <f t="shared" si="0"/>
        <v>2333</v>
      </c>
      <c r="H5" s="6">
        <f t="shared" si="0"/>
        <v>2986</v>
      </c>
    </row>
    <row r="6" spans="1:8" x14ac:dyDescent="0.2">
      <c r="A6" s="8">
        <v>5</v>
      </c>
      <c r="B6" s="8" t="s">
        <v>237</v>
      </c>
      <c r="C6" s="8" t="s">
        <v>244</v>
      </c>
      <c r="D6" s="8" t="s">
        <v>249</v>
      </c>
      <c r="E6" s="8" t="s">
        <v>250</v>
      </c>
      <c r="F6" s="8" t="s">
        <v>244</v>
      </c>
      <c r="G6" s="6">
        <f t="shared" si="0"/>
        <v>3047</v>
      </c>
      <c r="H6" s="6">
        <f t="shared" si="0"/>
        <v>3700</v>
      </c>
    </row>
    <row r="7" spans="1:8" x14ac:dyDescent="0.2">
      <c r="A7" s="8">
        <v>6</v>
      </c>
      <c r="B7" s="8" t="s">
        <v>237</v>
      </c>
      <c r="C7" s="8" t="s">
        <v>241</v>
      </c>
      <c r="D7" s="8" t="s">
        <v>251</v>
      </c>
      <c r="E7" s="8" t="s">
        <v>252</v>
      </c>
      <c r="F7" s="8" t="s">
        <v>241</v>
      </c>
      <c r="G7" s="6">
        <f t="shared" si="0"/>
        <v>3760</v>
      </c>
      <c r="H7" s="6">
        <f t="shared" si="0"/>
        <v>4413</v>
      </c>
    </row>
    <row r="8" spans="1:8" x14ac:dyDescent="0.2">
      <c r="A8" s="8">
        <v>7</v>
      </c>
      <c r="B8" s="8" t="s">
        <v>237</v>
      </c>
      <c r="C8" s="8" t="s">
        <v>6</v>
      </c>
      <c r="D8" s="8" t="s">
        <v>253</v>
      </c>
      <c r="E8" s="8" t="s">
        <v>254</v>
      </c>
      <c r="F8" s="8" t="s">
        <v>280</v>
      </c>
      <c r="G8" s="6">
        <f t="shared" si="0"/>
        <v>4473</v>
      </c>
      <c r="H8" s="6">
        <f t="shared" si="0"/>
        <v>5373</v>
      </c>
    </row>
    <row r="9" spans="1:8" x14ac:dyDescent="0.2">
      <c r="A9" s="8">
        <v>8</v>
      </c>
      <c r="B9" s="8" t="s">
        <v>237</v>
      </c>
      <c r="C9" s="8" t="s">
        <v>244</v>
      </c>
      <c r="D9" s="8" t="s">
        <v>255</v>
      </c>
      <c r="E9" s="8" t="s">
        <v>256</v>
      </c>
      <c r="F9" s="8" t="s">
        <v>244</v>
      </c>
      <c r="G9" s="6">
        <f t="shared" si="0"/>
        <v>5433</v>
      </c>
      <c r="H9" s="6">
        <f t="shared" si="0"/>
        <v>6117</v>
      </c>
    </row>
    <row r="10" spans="1:8" x14ac:dyDescent="0.2">
      <c r="A10" s="8">
        <v>9</v>
      </c>
      <c r="B10" s="8" t="s">
        <v>237</v>
      </c>
      <c r="C10" s="8" t="s">
        <v>241</v>
      </c>
      <c r="D10" s="8" t="s">
        <v>257</v>
      </c>
      <c r="E10" s="8" t="s">
        <v>258</v>
      </c>
      <c r="F10" s="8" t="s">
        <v>241</v>
      </c>
      <c r="G10" s="6">
        <f t="shared" si="0"/>
        <v>6177</v>
      </c>
      <c r="H10" s="6">
        <f t="shared" si="0"/>
        <v>6830</v>
      </c>
    </row>
    <row r="11" spans="1:8" x14ac:dyDescent="0.2">
      <c r="A11" s="8">
        <v>10</v>
      </c>
      <c r="B11" s="8" t="s">
        <v>237</v>
      </c>
      <c r="C11" s="8" t="s">
        <v>244</v>
      </c>
      <c r="D11" s="8" t="s">
        <v>259</v>
      </c>
      <c r="E11" s="8" t="s">
        <v>260</v>
      </c>
      <c r="F11" s="8" t="s">
        <v>244</v>
      </c>
      <c r="G11" s="6">
        <f t="shared" si="0"/>
        <v>6889</v>
      </c>
      <c r="H11" s="6">
        <f t="shared" si="0"/>
        <v>7543</v>
      </c>
    </row>
    <row r="12" spans="1:8" x14ac:dyDescent="0.2">
      <c r="A12" s="8">
        <v>11</v>
      </c>
      <c r="B12" s="8" t="s">
        <v>237</v>
      </c>
      <c r="C12" s="8" t="s">
        <v>241</v>
      </c>
      <c r="D12" s="8" t="s">
        <v>261</v>
      </c>
      <c r="E12" s="8" t="s">
        <v>262</v>
      </c>
      <c r="F12" s="8" t="s">
        <v>241</v>
      </c>
      <c r="G12" s="6">
        <f t="shared" si="0"/>
        <v>7603</v>
      </c>
      <c r="H12" s="6">
        <f t="shared" si="0"/>
        <v>8256</v>
      </c>
    </row>
    <row r="13" spans="1:8" x14ac:dyDescent="0.2">
      <c r="A13" s="8">
        <v>12</v>
      </c>
      <c r="B13" s="8" t="s">
        <v>237</v>
      </c>
      <c r="C13" s="8" t="s">
        <v>244</v>
      </c>
      <c r="D13" s="8" t="s">
        <v>263</v>
      </c>
      <c r="E13" s="8" t="s">
        <v>264</v>
      </c>
      <c r="F13" s="8" t="s">
        <v>244</v>
      </c>
      <c r="G13" s="6">
        <f t="shared" si="0"/>
        <v>8316</v>
      </c>
      <c r="H13" s="6">
        <f t="shared" si="0"/>
        <v>8969</v>
      </c>
    </row>
    <row r="14" spans="1:8" x14ac:dyDescent="0.2">
      <c r="A14" s="8">
        <v>13</v>
      </c>
      <c r="B14" s="8" t="s">
        <v>237</v>
      </c>
      <c r="C14" s="8" t="s">
        <v>241</v>
      </c>
      <c r="D14" s="8" t="s">
        <v>265</v>
      </c>
      <c r="E14" s="8" t="s">
        <v>266</v>
      </c>
      <c r="F14" s="8" t="s">
        <v>241</v>
      </c>
      <c r="G14" s="6">
        <f t="shared" si="0"/>
        <v>9030</v>
      </c>
      <c r="H14" s="6">
        <f t="shared" si="0"/>
        <v>9683</v>
      </c>
    </row>
    <row r="15" spans="1:8" x14ac:dyDescent="0.2">
      <c r="A15" s="8">
        <v>14</v>
      </c>
      <c r="B15" s="8" t="s">
        <v>237</v>
      </c>
      <c r="C15" s="8" t="s">
        <v>5</v>
      </c>
      <c r="D15" s="8" t="s">
        <v>267</v>
      </c>
      <c r="E15" s="8" t="s">
        <v>268</v>
      </c>
      <c r="F15" s="8" t="s">
        <v>281</v>
      </c>
      <c r="G15" s="6">
        <f t="shared" si="0"/>
        <v>9743</v>
      </c>
      <c r="H15" s="6">
        <f t="shared" si="0"/>
        <v>10642</v>
      </c>
    </row>
    <row r="16" spans="1:8" x14ac:dyDescent="0.2">
      <c r="A16" s="8">
        <v>1</v>
      </c>
      <c r="B16" s="8" t="s">
        <v>269</v>
      </c>
      <c r="C16" s="8" t="s">
        <v>238</v>
      </c>
      <c r="D16" s="8" t="s">
        <v>239</v>
      </c>
      <c r="E16" s="8" t="s">
        <v>240</v>
      </c>
      <c r="F16" s="8" t="s">
        <v>238</v>
      </c>
      <c r="G16" s="6">
        <f t="shared" si="0"/>
        <v>186</v>
      </c>
      <c r="H16" s="6">
        <f t="shared" si="0"/>
        <v>846</v>
      </c>
    </row>
    <row r="17" spans="1:8" x14ac:dyDescent="0.2">
      <c r="A17" s="8">
        <v>2</v>
      </c>
      <c r="B17" s="8" t="s">
        <v>269</v>
      </c>
      <c r="C17" s="8" t="s">
        <v>241</v>
      </c>
      <c r="D17" s="8" t="s">
        <v>242</v>
      </c>
      <c r="E17" s="8" t="s">
        <v>243</v>
      </c>
      <c r="F17" s="8" t="s">
        <v>241</v>
      </c>
      <c r="G17" s="6">
        <f t="shared" si="0"/>
        <v>906</v>
      </c>
      <c r="H17" s="6">
        <f t="shared" si="0"/>
        <v>1560</v>
      </c>
    </row>
    <row r="18" spans="1:8" x14ac:dyDescent="0.2">
      <c r="A18" s="8">
        <v>3</v>
      </c>
      <c r="B18" s="8" t="s">
        <v>269</v>
      </c>
      <c r="C18" s="8" t="s">
        <v>244</v>
      </c>
      <c r="D18" s="8" t="s">
        <v>245</v>
      </c>
      <c r="E18" s="8" t="s">
        <v>246</v>
      </c>
      <c r="F18" s="8" t="s">
        <v>244</v>
      </c>
      <c r="G18" s="6">
        <f t="shared" si="0"/>
        <v>1620</v>
      </c>
      <c r="H18" s="6">
        <f t="shared" si="0"/>
        <v>2273</v>
      </c>
    </row>
    <row r="19" spans="1:8" x14ac:dyDescent="0.2">
      <c r="A19" s="8">
        <v>4</v>
      </c>
      <c r="B19" s="8" t="s">
        <v>269</v>
      </c>
      <c r="C19" s="8" t="s">
        <v>241</v>
      </c>
      <c r="D19" s="8" t="s">
        <v>247</v>
      </c>
      <c r="E19" s="8" t="s">
        <v>248</v>
      </c>
      <c r="F19" s="8" t="s">
        <v>241</v>
      </c>
      <c r="G19" s="6">
        <f t="shared" si="0"/>
        <v>2333</v>
      </c>
      <c r="H19" s="6">
        <f t="shared" si="0"/>
        <v>2986</v>
      </c>
    </row>
    <row r="20" spans="1:8" x14ac:dyDescent="0.2">
      <c r="A20" s="8">
        <v>5</v>
      </c>
      <c r="B20" s="8" t="s">
        <v>269</v>
      </c>
      <c r="C20" s="8" t="s">
        <v>244</v>
      </c>
      <c r="D20" s="8" t="s">
        <v>249</v>
      </c>
      <c r="E20" s="8" t="s">
        <v>250</v>
      </c>
      <c r="F20" s="8" t="s">
        <v>244</v>
      </c>
      <c r="G20" s="6">
        <f t="shared" si="0"/>
        <v>3047</v>
      </c>
      <c r="H20" s="6">
        <f t="shared" si="0"/>
        <v>3700</v>
      </c>
    </row>
    <row r="21" spans="1:8" x14ac:dyDescent="0.2">
      <c r="A21" s="8">
        <v>6</v>
      </c>
      <c r="B21" s="8" t="s">
        <v>269</v>
      </c>
      <c r="C21" s="8" t="s">
        <v>241</v>
      </c>
      <c r="D21" s="8" t="s">
        <v>251</v>
      </c>
      <c r="E21" s="8" t="s">
        <v>252</v>
      </c>
      <c r="F21" s="8" t="s">
        <v>241</v>
      </c>
      <c r="G21" s="6">
        <f t="shared" si="0"/>
        <v>3760</v>
      </c>
      <c r="H21" s="6">
        <f t="shared" si="0"/>
        <v>4413</v>
      </c>
    </row>
    <row r="22" spans="1:8" x14ac:dyDescent="0.2">
      <c r="A22" s="8">
        <v>7</v>
      </c>
      <c r="B22" s="8" t="s">
        <v>269</v>
      </c>
      <c r="C22" s="8" t="s">
        <v>5</v>
      </c>
      <c r="D22" s="8" t="s">
        <v>253</v>
      </c>
      <c r="E22" s="8" t="s">
        <v>254</v>
      </c>
      <c r="F22" s="8" t="s">
        <v>282</v>
      </c>
      <c r="G22" s="6">
        <f t="shared" si="0"/>
        <v>4473</v>
      </c>
      <c r="H22" s="6">
        <f t="shared" si="0"/>
        <v>5373</v>
      </c>
    </row>
    <row r="23" spans="1:8" x14ac:dyDescent="0.2">
      <c r="A23" s="8">
        <v>8</v>
      </c>
      <c r="B23" s="8" t="s">
        <v>269</v>
      </c>
      <c r="C23" s="8" t="s">
        <v>244</v>
      </c>
      <c r="D23" s="8" t="s">
        <v>255</v>
      </c>
      <c r="E23" s="8" t="s">
        <v>256</v>
      </c>
      <c r="F23" s="8" t="s">
        <v>244</v>
      </c>
      <c r="G23" s="6">
        <f t="shared" si="0"/>
        <v>5433</v>
      </c>
      <c r="H23" s="6">
        <f t="shared" si="0"/>
        <v>6117</v>
      </c>
    </row>
    <row r="24" spans="1:8" x14ac:dyDescent="0.2">
      <c r="A24" s="8">
        <v>9</v>
      </c>
      <c r="B24" s="8" t="s">
        <v>269</v>
      </c>
      <c r="C24" s="8" t="s">
        <v>241</v>
      </c>
      <c r="D24" s="8" t="s">
        <v>257</v>
      </c>
      <c r="E24" s="8" t="s">
        <v>258</v>
      </c>
      <c r="F24" s="8" t="s">
        <v>241</v>
      </c>
      <c r="G24" s="6">
        <f t="shared" si="0"/>
        <v>6177</v>
      </c>
      <c r="H24" s="6">
        <f t="shared" si="0"/>
        <v>6830</v>
      </c>
    </row>
    <row r="25" spans="1:8" x14ac:dyDescent="0.2">
      <c r="A25" s="8">
        <v>10</v>
      </c>
      <c r="B25" s="8" t="s">
        <v>269</v>
      </c>
      <c r="C25" s="8" t="s">
        <v>244</v>
      </c>
      <c r="D25" s="8" t="s">
        <v>259</v>
      </c>
      <c r="E25" s="8" t="s">
        <v>260</v>
      </c>
      <c r="F25" s="8" t="s">
        <v>244</v>
      </c>
      <c r="G25" s="6">
        <f t="shared" si="0"/>
        <v>6889</v>
      </c>
      <c r="H25" s="6">
        <f t="shared" si="0"/>
        <v>7543</v>
      </c>
    </row>
    <row r="26" spans="1:8" x14ac:dyDescent="0.2">
      <c r="A26" s="8">
        <v>11</v>
      </c>
      <c r="B26" s="8" t="s">
        <v>269</v>
      </c>
      <c r="C26" s="8" t="s">
        <v>241</v>
      </c>
      <c r="D26" s="8" t="s">
        <v>261</v>
      </c>
      <c r="E26" s="8" t="s">
        <v>262</v>
      </c>
      <c r="F26" s="8" t="s">
        <v>241</v>
      </c>
      <c r="G26" s="6">
        <f t="shared" si="0"/>
        <v>7603</v>
      </c>
      <c r="H26" s="6">
        <f t="shared" si="0"/>
        <v>8256</v>
      </c>
    </row>
    <row r="27" spans="1:8" x14ac:dyDescent="0.2">
      <c r="A27" s="8">
        <v>12</v>
      </c>
      <c r="B27" s="8" t="s">
        <v>269</v>
      </c>
      <c r="C27" s="8" t="s">
        <v>244</v>
      </c>
      <c r="D27" s="8" t="s">
        <v>263</v>
      </c>
      <c r="E27" s="8" t="s">
        <v>264</v>
      </c>
      <c r="F27" s="8" t="s">
        <v>244</v>
      </c>
      <c r="G27" s="6">
        <f t="shared" si="0"/>
        <v>8316</v>
      </c>
      <c r="H27" s="6">
        <f t="shared" si="0"/>
        <v>8969</v>
      </c>
    </row>
    <row r="28" spans="1:8" x14ac:dyDescent="0.2">
      <c r="A28" s="8">
        <v>13</v>
      </c>
      <c r="B28" s="8" t="s">
        <v>269</v>
      </c>
      <c r="C28" s="8" t="s">
        <v>241</v>
      </c>
      <c r="D28" s="8" t="s">
        <v>265</v>
      </c>
      <c r="E28" s="8" t="s">
        <v>266</v>
      </c>
      <c r="F28" s="8" t="s">
        <v>241</v>
      </c>
      <c r="G28" s="6">
        <f t="shared" si="0"/>
        <v>9030</v>
      </c>
      <c r="H28" s="6">
        <f t="shared" si="0"/>
        <v>9683</v>
      </c>
    </row>
    <row r="29" spans="1:8" x14ac:dyDescent="0.2">
      <c r="A29" s="8">
        <v>14</v>
      </c>
      <c r="B29" s="8" t="s">
        <v>269</v>
      </c>
      <c r="C29" s="8" t="s">
        <v>6</v>
      </c>
      <c r="D29" s="8" t="s">
        <v>267</v>
      </c>
      <c r="E29" s="8" t="s">
        <v>268</v>
      </c>
      <c r="F29" s="8" t="s">
        <v>280</v>
      </c>
      <c r="G29" s="6">
        <f t="shared" si="0"/>
        <v>9743</v>
      </c>
      <c r="H29" s="6">
        <f t="shared" si="0"/>
        <v>10642</v>
      </c>
    </row>
    <row r="30" spans="1:8" x14ac:dyDescent="0.2">
      <c r="A30" s="8">
        <v>1</v>
      </c>
      <c r="B30" s="8" t="s">
        <v>270</v>
      </c>
      <c r="C30" s="8" t="s">
        <v>241</v>
      </c>
      <c r="D30" s="8" t="s">
        <v>239</v>
      </c>
      <c r="E30" s="8" t="s">
        <v>240</v>
      </c>
      <c r="F30" s="8" t="s">
        <v>241</v>
      </c>
      <c r="G30" s="6">
        <f t="shared" si="0"/>
        <v>186</v>
      </c>
      <c r="H30" s="6">
        <f t="shared" si="0"/>
        <v>846</v>
      </c>
    </row>
    <row r="31" spans="1:8" x14ac:dyDescent="0.2">
      <c r="A31" s="8">
        <v>2</v>
      </c>
      <c r="B31" s="8" t="s">
        <v>270</v>
      </c>
      <c r="C31" s="8" t="s">
        <v>238</v>
      </c>
      <c r="D31" s="8" t="s">
        <v>242</v>
      </c>
      <c r="E31" s="8" t="s">
        <v>243</v>
      </c>
      <c r="F31" s="8" t="s">
        <v>238</v>
      </c>
      <c r="G31" s="6">
        <f t="shared" si="0"/>
        <v>906</v>
      </c>
      <c r="H31" s="6">
        <f t="shared" si="0"/>
        <v>1560</v>
      </c>
    </row>
    <row r="32" spans="1:8" x14ac:dyDescent="0.2">
      <c r="A32" s="8">
        <v>3</v>
      </c>
      <c r="B32" s="8" t="s">
        <v>270</v>
      </c>
      <c r="C32" s="8" t="s">
        <v>241</v>
      </c>
      <c r="D32" s="8" t="s">
        <v>245</v>
      </c>
      <c r="E32" s="8" t="s">
        <v>246</v>
      </c>
      <c r="F32" s="8" t="s">
        <v>241</v>
      </c>
      <c r="G32" s="6">
        <f t="shared" si="0"/>
        <v>1620</v>
      </c>
      <c r="H32" s="6">
        <f t="shared" si="0"/>
        <v>2273</v>
      </c>
    </row>
    <row r="33" spans="1:8" x14ac:dyDescent="0.2">
      <c r="A33" s="8">
        <v>4</v>
      </c>
      <c r="B33" s="8" t="s">
        <v>270</v>
      </c>
      <c r="C33" s="8" t="s">
        <v>238</v>
      </c>
      <c r="D33" s="8" t="s">
        <v>247</v>
      </c>
      <c r="E33" s="8" t="s">
        <v>248</v>
      </c>
      <c r="F33" s="8" t="s">
        <v>238</v>
      </c>
      <c r="G33" s="6">
        <f t="shared" si="0"/>
        <v>2333</v>
      </c>
      <c r="H33" s="6">
        <f t="shared" si="0"/>
        <v>2986</v>
      </c>
    </row>
    <row r="34" spans="1:8" x14ac:dyDescent="0.2">
      <c r="A34" s="8">
        <v>5</v>
      </c>
      <c r="B34" s="8" t="s">
        <v>270</v>
      </c>
      <c r="C34" s="8" t="s">
        <v>241</v>
      </c>
      <c r="D34" s="8" t="s">
        <v>249</v>
      </c>
      <c r="E34" s="8" t="s">
        <v>250</v>
      </c>
      <c r="F34" s="8" t="s">
        <v>241</v>
      </c>
      <c r="G34" s="6">
        <f t="shared" si="0"/>
        <v>3047</v>
      </c>
      <c r="H34" s="6">
        <f t="shared" si="0"/>
        <v>3700</v>
      </c>
    </row>
    <row r="35" spans="1:8" x14ac:dyDescent="0.2">
      <c r="A35" s="8">
        <v>6</v>
      </c>
      <c r="B35" s="8" t="s">
        <v>270</v>
      </c>
      <c r="C35" s="8" t="s">
        <v>238</v>
      </c>
      <c r="D35" s="8" t="s">
        <v>251</v>
      </c>
      <c r="E35" s="8" t="s">
        <v>252</v>
      </c>
      <c r="F35" s="8" t="s">
        <v>238</v>
      </c>
      <c r="G35" s="6">
        <f t="shared" si="0"/>
        <v>3760</v>
      </c>
      <c r="H35" s="6">
        <f t="shared" si="0"/>
        <v>4413</v>
      </c>
    </row>
    <row r="36" spans="1:8" x14ac:dyDescent="0.2">
      <c r="A36" s="8">
        <v>7</v>
      </c>
      <c r="B36" s="8" t="s">
        <v>270</v>
      </c>
      <c r="C36" s="8" t="s">
        <v>6</v>
      </c>
      <c r="D36" s="8" t="s">
        <v>253</v>
      </c>
      <c r="E36" s="8" t="s">
        <v>254</v>
      </c>
      <c r="F36" s="8" t="s">
        <v>280</v>
      </c>
      <c r="G36" s="6">
        <f t="shared" si="0"/>
        <v>4473</v>
      </c>
      <c r="H36" s="6">
        <f t="shared" si="0"/>
        <v>5373</v>
      </c>
    </row>
    <row r="37" spans="1:8" x14ac:dyDescent="0.2">
      <c r="A37" s="8">
        <v>8</v>
      </c>
      <c r="B37" s="8" t="s">
        <v>270</v>
      </c>
      <c r="C37" s="8" t="s">
        <v>241</v>
      </c>
      <c r="D37" s="8" t="s">
        <v>255</v>
      </c>
      <c r="E37" s="8" t="s">
        <v>256</v>
      </c>
      <c r="F37" s="8" t="s">
        <v>241</v>
      </c>
      <c r="G37" s="6">
        <f t="shared" si="0"/>
        <v>5433</v>
      </c>
      <c r="H37" s="6">
        <f t="shared" si="0"/>
        <v>6117</v>
      </c>
    </row>
    <row r="38" spans="1:8" x14ac:dyDescent="0.2">
      <c r="A38" s="8">
        <v>9</v>
      </c>
      <c r="B38" s="8" t="s">
        <v>270</v>
      </c>
      <c r="C38" s="8" t="s">
        <v>238</v>
      </c>
      <c r="D38" s="8" t="s">
        <v>257</v>
      </c>
      <c r="E38" s="8" t="s">
        <v>258</v>
      </c>
      <c r="F38" s="8" t="s">
        <v>238</v>
      </c>
      <c r="G38" s="6">
        <f t="shared" si="0"/>
        <v>6177</v>
      </c>
      <c r="H38" s="6">
        <f t="shared" si="0"/>
        <v>6830</v>
      </c>
    </row>
    <row r="39" spans="1:8" x14ac:dyDescent="0.2">
      <c r="A39" s="8">
        <v>10</v>
      </c>
      <c r="B39" s="8" t="s">
        <v>270</v>
      </c>
      <c r="C39" s="8" t="s">
        <v>241</v>
      </c>
      <c r="D39" s="8" t="s">
        <v>259</v>
      </c>
      <c r="E39" s="8" t="s">
        <v>260</v>
      </c>
      <c r="F39" s="8" t="s">
        <v>241</v>
      </c>
      <c r="G39" s="6">
        <f t="shared" si="0"/>
        <v>6889</v>
      </c>
      <c r="H39" s="6">
        <f t="shared" si="0"/>
        <v>7543</v>
      </c>
    </row>
    <row r="40" spans="1:8" x14ac:dyDescent="0.2">
      <c r="A40" s="8">
        <v>11</v>
      </c>
      <c r="B40" s="8" t="s">
        <v>270</v>
      </c>
      <c r="C40" s="8" t="s">
        <v>238</v>
      </c>
      <c r="D40" s="8" t="s">
        <v>261</v>
      </c>
      <c r="E40" s="8" t="s">
        <v>262</v>
      </c>
      <c r="F40" s="8" t="s">
        <v>238</v>
      </c>
      <c r="G40" s="6">
        <f t="shared" si="0"/>
        <v>7603</v>
      </c>
      <c r="H40" s="6">
        <f t="shared" si="0"/>
        <v>8256</v>
      </c>
    </row>
    <row r="41" spans="1:8" x14ac:dyDescent="0.2">
      <c r="A41" s="8">
        <v>12</v>
      </c>
      <c r="B41" s="8" t="s">
        <v>270</v>
      </c>
      <c r="C41" s="8" t="s">
        <v>271</v>
      </c>
      <c r="D41" s="8" t="s">
        <v>263</v>
      </c>
      <c r="E41" s="8" t="s">
        <v>264</v>
      </c>
      <c r="F41" s="8" t="s">
        <v>271</v>
      </c>
      <c r="G41" s="6">
        <f t="shared" si="0"/>
        <v>8316</v>
      </c>
      <c r="H41" s="6">
        <f t="shared" si="0"/>
        <v>8969</v>
      </c>
    </row>
    <row r="42" spans="1:8" x14ac:dyDescent="0.2">
      <c r="A42" s="8">
        <v>13</v>
      </c>
      <c r="B42" s="8" t="s">
        <v>270</v>
      </c>
      <c r="C42" s="8" t="s">
        <v>238</v>
      </c>
      <c r="D42" s="8" t="s">
        <v>265</v>
      </c>
      <c r="E42" s="8" t="s">
        <v>266</v>
      </c>
      <c r="F42" s="8" t="s">
        <v>238</v>
      </c>
      <c r="G42" s="6">
        <f t="shared" si="0"/>
        <v>9030</v>
      </c>
      <c r="H42" s="6">
        <f t="shared" si="0"/>
        <v>9683</v>
      </c>
    </row>
    <row r="43" spans="1:8" x14ac:dyDescent="0.2">
      <c r="A43" s="8">
        <v>14</v>
      </c>
      <c r="B43" s="8" t="s">
        <v>270</v>
      </c>
      <c r="C43" s="8" t="s">
        <v>5</v>
      </c>
      <c r="D43" s="8" t="s">
        <v>267</v>
      </c>
      <c r="E43" s="8" t="s">
        <v>268</v>
      </c>
      <c r="F43" s="8" t="s">
        <v>283</v>
      </c>
      <c r="G43" s="6">
        <f t="shared" si="0"/>
        <v>9743</v>
      </c>
      <c r="H43" s="6">
        <f t="shared" si="0"/>
        <v>10642</v>
      </c>
    </row>
    <row r="44" spans="1:8" x14ac:dyDescent="0.2">
      <c r="A44" s="8">
        <v>1</v>
      </c>
      <c r="B44" s="8" t="s">
        <v>272</v>
      </c>
      <c r="C44" s="8" t="s">
        <v>241</v>
      </c>
      <c r="D44" s="8" t="s">
        <v>239</v>
      </c>
      <c r="E44" s="8" t="s">
        <v>240</v>
      </c>
      <c r="F44" s="8" t="s">
        <v>241</v>
      </c>
      <c r="G44" s="6">
        <f t="shared" si="0"/>
        <v>186</v>
      </c>
      <c r="H44" s="6">
        <f t="shared" si="0"/>
        <v>846</v>
      </c>
    </row>
    <row r="45" spans="1:8" x14ac:dyDescent="0.2">
      <c r="A45" s="8">
        <v>2</v>
      </c>
      <c r="B45" s="8" t="s">
        <v>272</v>
      </c>
      <c r="C45" s="8" t="s">
        <v>238</v>
      </c>
      <c r="D45" s="8" t="s">
        <v>242</v>
      </c>
      <c r="E45" s="8" t="s">
        <v>243</v>
      </c>
      <c r="F45" s="8" t="s">
        <v>238</v>
      </c>
      <c r="G45" s="6">
        <f t="shared" si="0"/>
        <v>906</v>
      </c>
      <c r="H45" s="6">
        <f t="shared" si="0"/>
        <v>1560</v>
      </c>
    </row>
    <row r="46" spans="1:8" x14ac:dyDescent="0.2">
      <c r="A46" s="8">
        <v>3</v>
      </c>
      <c r="B46" s="8" t="s">
        <v>272</v>
      </c>
      <c r="C46" s="8" t="s">
        <v>241</v>
      </c>
      <c r="D46" s="8" t="s">
        <v>245</v>
      </c>
      <c r="E46" s="8" t="s">
        <v>246</v>
      </c>
      <c r="F46" s="8" t="s">
        <v>241</v>
      </c>
      <c r="G46" s="6">
        <f t="shared" si="0"/>
        <v>1620</v>
      </c>
      <c r="H46" s="6">
        <f t="shared" si="0"/>
        <v>2273</v>
      </c>
    </row>
    <row r="47" spans="1:8" x14ac:dyDescent="0.2">
      <c r="A47" s="8">
        <v>4</v>
      </c>
      <c r="B47" s="8" t="s">
        <v>272</v>
      </c>
      <c r="C47" s="8" t="s">
        <v>238</v>
      </c>
      <c r="D47" s="8" t="s">
        <v>247</v>
      </c>
      <c r="E47" s="8" t="s">
        <v>248</v>
      </c>
      <c r="F47" s="8" t="s">
        <v>238</v>
      </c>
      <c r="G47" s="6">
        <f t="shared" si="0"/>
        <v>2333</v>
      </c>
      <c r="H47" s="6">
        <f t="shared" si="0"/>
        <v>2986</v>
      </c>
    </row>
    <row r="48" spans="1:8" x14ac:dyDescent="0.2">
      <c r="A48" s="8">
        <v>5</v>
      </c>
      <c r="B48" s="8" t="s">
        <v>272</v>
      </c>
      <c r="C48" s="8" t="s">
        <v>241</v>
      </c>
      <c r="D48" s="8" t="s">
        <v>249</v>
      </c>
      <c r="E48" s="8" t="s">
        <v>250</v>
      </c>
      <c r="F48" s="8" t="s">
        <v>241</v>
      </c>
      <c r="G48" s="6">
        <f t="shared" si="0"/>
        <v>3047</v>
      </c>
      <c r="H48" s="6">
        <f t="shared" si="0"/>
        <v>3700</v>
      </c>
    </row>
    <row r="49" spans="1:8" x14ac:dyDescent="0.2">
      <c r="A49" s="8">
        <v>6</v>
      </c>
      <c r="B49" s="8" t="s">
        <v>272</v>
      </c>
      <c r="C49" s="8" t="s">
        <v>238</v>
      </c>
      <c r="D49" s="8" t="s">
        <v>251</v>
      </c>
      <c r="E49" s="8" t="s">
        <v>252</v>
      </c>
      <c r="F49" s="8" t="s">
        <v>238</v>
      </c>
      <c r="G49" s="6">
        <f t="shared" si="0"/>
        <v>3760</v>
      </c>
      <c r="H49" s="6">
        <f t="shared" si="0"/>
        <v>4413</v>
      </c>
    </row>
    <row r="50" spans="1:8" x14ac:dyDescent="0.2">
      <c r="A50" s="8">
        <v>7</v>
      </c>
      <c r="B50" s="8" t="s">
        <v>272</v>
      </c>
      <c r="C50" s="8" t="s">
        <v>5</v>
      </c>
      <c r="D50" s="8" t="s">
        <v>253</v>
      </c>
      <c r="E50" s="8" t="s">
        <v>254</v>
      </c>
      <c r="F50" s="8" t="s">
        <v>284</v>
      </c>
      <c r="G50" s="6">
        <f t="shared" si="0"/>
        <v>4473</v>
      </c>
      <c r="H50" s="6">
        <f t="shared" si="0"/>
        <v>5373</v>
      </c>
    </row>
    <row r="51" spans="1:8" x14ac:dyDescent="0.2">
      <c r="A51" s="8">
        <v>8</v>
      </c>
      <c r="B51" s="8" t="s">
        <v>272</v>
      </c>
      <c r="C51" s="8" t="s">
        <v>241</v>
      </c>
      <c r="D51" s="8" t="s">
        <v>255</v>
      </c>
      <c r="E51" s="8" t="s">
        <v>256</v>
      </c>
      <c r="F51" s="8" t="s">
        <v>241</v>
      </c>
      <c r="G51" s="6">
        <f t="shared" si="0"/>
        <v>5433</v>
      </c>
      <c r="H51" s="6">
        <f t="shared" si="0"/>
        <v>6117</v>
      </c>
    </row>
    <row r="52" spans="1:8" x14ac:dyDescent="0.2">
      <c r="A52" s="8">
        <v>9</v>
      </c>
      <c r="B52" s="8" t="s">
        <v>272</v>
      </c>
      <c r="C52" s="8" t="s">
        <v>238</v>
      </c>
      <c r="D52" s="8" t="s">
        <v>257</v>
      </c>
      <c r="E52" s="8" t="s">
        <v>258</v>
      </c>
      <c r="F52" s="8" t="s">
        <v>238</v>
      </c>
      <c r="G52" s="6">
        <f t="shared" si="0"/>
        <v>6177</v>
      </c>
      <c r="H52" s="6">
        <f t="shared" si="0"/>
        <v>6830</v>
      </c>
    </row>
    <row r="53" spans="1:8" x14ac:dyDescent="0.2">
      <c r="A53" s="8">
        <v>10</v>
      </c>
      <c r="B53" s="8" t="s">
        <v>272</v>
      </c>
      <c r="C53" s="8" t="s">
        <v>241</v>
      </c>
      <c r="D53" s="8" t="s">
        <v>259</v>
      </c>
      <c r="E53" s="8" t="s">
        <v>260</v>
      </c>
      <c r="F53" s="8" t="s">
        <v>241</v>
      </c>
      <c r="G53" s="6">
        <f t="shared" si="0"/>
        <v>6889</v>
      </c>
      <c r="H53" s="6">
        <f t="shared" si="0"/>
        <v>7543</v>
      </c>
    </row>
    <row r="54" spans="1:8" x14ac:dyDescent="0.2">
      <c r="A54" s="8">
        <v>11</v>
      </c>
      <c r="B54" s="8" t="s">
        <v>272</v>
      </c>
      <c r="C54" s="8" t="s">
        <v>238</v>
      </c>
      <c r="D54" s="8" t="s">
        <v>261</v>
      </c>
      <c r="E54" s="8" t="s">
        <v>262</v>
      </c>
      <c r="F54" s="8" t="s">
        <v>238</v>
      </c>
      <c r="G54" s="6">
        <f t="shared" si="0"/>
        <v>7603</v>
      </c>
      <c r="H54" s="6">
        <f t="shared" si="0"/>
        <v>8256</v>
      </c>
    </row>
    <row r="55" spans="1:8" x14ac:dyDescent="0.2">
      <c r="A55" s="8">
        <v>12</v>
      </c>
      <c r="B55" s="8" t="s">
        <v>272</v>
      </c>
      <c r="C55" s="8" t="s">
        <v>241</v>
      </c>
      <c r="D55" s="8" t="s">
        <v>263</v>
      </c>
      <c r="E55" s="8" t="s">
        <v>264</v>
      </c>
      <c r="F55" s="8" t="s">
        <v>241</v>
      </c>
      <c r="G55" s="6">
        <f t="shared" si="0"/>
        <v>8316</v>
      </c>
      <c r="H55" s="6">
        <f t="shared" si="0"/>
        <v>8969</v>
      </c>
    </row>
    <row r="56" spans="1:8" x14ac:dyDescent="0.2">
      <c r="A56" s="8">
        <v>13</v>
      </c>
      <c r="B56" s="8" t="s">
        <v>272</v>
      </c>
      <c r="C56" s="8" t="s">
        <v>238</v>
      </c>
      <c r="D56" s="8" t="s">
        <v>265</v>
      </c>
      <c r="E56" s="8" t="s">
        <v>266</v>
      </c>
      <c r="F56" s="8" t="s">
        <v>238</v>
      </c>
      <c r="G56" s="6">
        <f t="shared" si="0"/>
        <v>9030</v>
      </c>
      <c r="H56" s="6">
        <f t="shared" si="0"/>
        <v>9683</v>
      </c>
    </row>
    <row r="57" spans="1:8" x14ac:dyDescent="0.2">
      <c r="A57" s="8">
        <v>14</v>
      </c>
      <c r="B57" s="8" t="s">
        <v>272</v>
      </c>
      <c r="C57" s="8" t="s">
        <v>6</v>
      </c>
      <c r="D57" s="8" t="s">
        <v>267</v>
      </c>
      <c r="E57" s="8" t="s">
        <v>268</v>
      </c>
      <c r="F57" s="8" t="s">
        <v>280</v>
      </c>
      <c r="G57" s="6">
        <f t="shared" si="0"/>
        <v>9743</v>
      </c>
      <c r="H57" s="6">
        <f t="shared" si="0"/>
        <v>10642</v>
      </c>
    </row>
    <row r="58" spans="1:8" x14ac:dyDescent="0.2">
      <c r="A58" s="8">
        <v>1</v>
      </c>
      <c r="B58" s="8" t="s">
        <v>273</v>
      </c>
      <c r="C58" s="8" t="s">
        <v>274</v>
      </c>
      <c r="D58" s="8" t="s">
        <v>239</v>
      </c>
      <c r="E58" s="8" t="s">
        <v>240</v>
      </c>
      <c r="F58" s="8" t="s">
        <v>274</v>
      </c>
      <c r="G58" s="6">
        <f t="shared" si="0"/>
        <v>186</v>
      </c>
      <c r="H58" s="6">
        <f t="shared" si="0"/>
        <v>846</v>
      </c>
    </row>
    <row r="59" spans="1:8" x14ac:dyDescent="0.2">
      <c r="A59" s="8">
        <v>2</v>
      </c>
      <c r="B59" s="8" t="s">
        <v>273</v>
      </c>
      <c r="C59" s="8" t="s">
        <v>275</v>
      </c>
      <c r="D59" s="8" t="s">
        <v>242</v>
      </c>
      <c r="E59" s="8" t="s">
        <v>243</v>
      </c>
      <c r="F59" s="8" t="s">
        <v>275</v>
      </c>
      <c r="G59" s="6">
        <f t="shared" si="0"/>
        <v>906</v>
      </c>
      <c r="H59" s="6">
        <f t="shared" si="0"/>
        <v>1560</v>
      </c>
    </row>
    <row r="60" spans="1:8" x14ac:dyDescent="0.2">
      <c r="A60" s="8">
        <v>3</v>
      </c>
      <c r="B60" s="8" t="s">
        <v>273</v>
      </c>
      <c r="C60" s="8" t="s">
        <v>274</v>
      </c>
      <c r="D60" s="8" t="s">
        <v>245</v>
      </c>
      <c r="E60" s="8" t="s">
        <v>246</v>
      </c>
      <c r="F60" s="8" t="s">
        <v>274</v>
      </c>
      <c r="G60" s="6">
        <f t="shared" si="0"/>
        <v>1620</v>
      </c>
      <c r="H60" s="6">
        <f t="shared" si="0"/>
        <v>2273</v>
      </c>
    </row>
    <row r="61" spans="1:8" x14ac:dyDescent="0.2">
      <c r="A61" s="8">
        <v>4</v>
      </c>
      <c r="B61" s="8" t="s">
        <v>273</v>
      </c>
      <c r="C61" s="8" t="s">
        <v>275</v>
      </c>
      <c r="D61" s="8" t="s">
        <v>247</v>
      </c>
      <c r="E61" s="8" t="s">
        <v>248</v>
      </c>
      <c r="F61" s="8" t="s">
        <v>275</v>
      </c>
      <c r="G61" s="6">
        <f t="shared" si="0"/>
        <v>2333</v>
      </c>
      <c r="H61" s="6">
        <f t="shared" si="0"/>
        <v>2986</v>
      </c>
    </row>
    <row r="62" spans="1:8" x14ac:dyDescent="0.2">
      <c r="A62" s="8">
        <v>5</v>
      </c>
      <c r="B62" s="8" t="s">
        <v>273</v>
      </c>
      <c r="C62" s="8" t="s">
        <v>274</v>
      </c>
      <c r="D62" s="8" t="s">
        <v>249</v>
      </c>
      <c r="E62" s="8" t="s">
        <v>250</v>
      </c>
      <c r="F62" s="8" t="s">
        <v>274</v>
      </c>
      <c r="G62" s="6">
        <f t="shared" si="0"/>
        <v>3047</v>
      </c>
      <c r="H62" s="6">
        <f t="shared" si="0"/>
        <v>3700</v>
      </c>
    </row>
    <row r="63" spans="1:8" x14ac:dyDescent="0.2">
      <c r="A63" s="8">
        <v>6</v>
      </c>
      <c r="B63" s="8" t="s">
        <v>273</v>
      </c>
      <c r="C63" s="8" t="s">
        <v>275</v>
      </c>
      <c r="D63" s="8" t="s">
        <v>251</v>
      </c>
      <c r="E63" s="8" t="s">
        <v>252</v>
      </c>
      <c r="F63" s="8" t="s">
        <v>275</v>
      </c>
      <c r="G63" s="6">
        <f t="shared" si="0"/>
        <v>3760</v>
      </c>
      <c r="H63" s="6">
        <f t="shared" si="0"/>
        <v>4413</v>
      </c>
    </row>
    <row r="64" spans="1:8" x14ac:dyDescent="0.2">
      <c r="A64" s="8">
        <v>7</v>
      </c>
      <c r="B64" s="8" t="s">
        <v>273</v>
      </c>
      <c r="C64" s="8" t="s">
        <v>5</v>
      </c>
      <c r="D64" s="8" t="s">
        <v>253</v>
      </c>
      <c r="E64" s="8" t="s">
        <v>254</v>
      </c>
      <c r="F64" s="8" t="s">
        <v>280</v>
      </c>
      <c r="G64" s="6">
        <f t="shared" si="0"/>
        <v>4473</v>
      </c>
      <c r="H64" s="6">
        <f t="shared" si="0"/>
        <v>5373</v>
      </c>
    </row>
    <row r="65" spans="1:8" x14ac:dyDescent="0.2">
      <c r="A65" s="8">
        <v>8</v>
      </c>
      <c r="B65" s="8" t="s">
        <v>273</v>
      </c>
      <c r="C65" s="8" t="s">
        <v>274</v>
      </c>
      <c r="D65" s="8" t="s">
        <v>255</v>
      </c>
      <c r="E65" s="8" t="s">
        <v>256</v>
      </c>
      <c r="F65" s="8" t="s">
        <v>274</v>
      </c>
      <c r="G65" s="6">
        <f t="shared" si="0"/>
        <v>5433</v>
      </c>
      <c r="H65" s="6">
        <f t="shared" si="0"/>
        <v>6117</v>
      </c>
    </row>
    <row r="66" spans="1:8" x14ac:dyDescent="0.2">
      <c r="A66" s="8">
        <v>9</v>
      </c>
      <c r="B66" s="8" t="s">
        <v>273</v>
      </c>
      <c r="C66" s="8" t="s">
        <v>275</v>
      </c>
      <c r="D66" s="8" t="s">
        <v>257</v>
      </c>
      <c r="E66" s="8" t="s">
        <v>258</v>
      </c>
      <c r="F66" s="8" t="s">
        <v>275</v>
      </c>
      <c r="G66" s="6">
        <f t="shared" si="0"/>
        <v>6177</v>
      </c>
      <c r="H66" s="6">
        <f t="shared" si="0"/>
        <v>6830</v>
      </c>
    </row>
    <row r="67" spans="1:8" x14ac:dyDescent="0.2">
      <c r="A67" s="8">
        <v>10</v>
      </c>
      <c r="B67" s="8" t="s">
        <v>273</v>
      </c>
      <c r="C67" s="8" t="s">
        <v>274</v>
      </c>
      <c r="D67" s="8" t="s">
        <v>259</v>
      </c>
      <c r="E67" s="8" t="s">
        <v>260</v>
      </c>
      <c r="F67" s="8" t="s">
        <v>274</v>
      </c>
      <c r="G67" s="6">
        <f t="shared" ref="G67:H113" si="1">LEFT(D67,2)*3600*30 + MID(D67,4,2)*60*30 + MID(D67,7,2)*30 + RIGHT(D67,2)</f>
        <v>6889</v>
      </c>
      <c r="H67" s="6">
        <f t="shared" si="1"/>
        <v>7543</v>
      </c>
    </row>
    <row r="68" spans="1:8" x14ac:dyDescent="0.2">
      <c r="A68" s="8">
        <v>11</v>
      </c>
      <c r="B68" s="8" t="s">
        <v>273</v>
      </c>
      <c r="C68" s="8" t="s">
        <v>275</v>
      </c>
      <c r="D68" s="8" t="s">
        <v>261</v>
      </c>
      <c r="E68" s="8" t="s">
        <v>262</v>
      </c>
      <c r="F68" s="8" t="s">
        <v>275</v>
      </c>
      <c r="G68" s="6">
        <f t="shared" si="1"/>
        <v>7603</v>
      </c>
      <c r="H68" s="6">
        <f t="shared" si="1"/>
        <v>8256</v>
      </c>
    </row>
    <row r="69" spans="1:8" x14ac:dyDescent="0.2">
      <c r="A69" s="8">
        <v>12</v>
      </c>
      <c r="B69" s="8" t="s">
        <v>273</v>
      </c>
      <c r="C69" s="8" t="s">
        <v>274</v>
      </c>
      <c r="D69" s="8" t="s">
        <v>263</v>
      </c>
      <c r="E69" s="8" t="s">
        <v>264</v>
      </c>
      <c r="F69" s="8" t="s">
        <v>274</v>
      </c>
      <c r="G69" s="6">
        <f t="shared" si="1"/>
        <v>8316</v>
      </c>
      <c r="H69" s="6">
        <f t="shared" si="1"/>
        <v>8969</v>
      </c>
    </row>
    <row r="70" spans="1:8" x14ac:dyDescent="0.2">
      <c r="A70" s="8">
        <v>13</v>
      </c>
      <c r="B70" s="8" t="s">
        <v>273</v>
      </c>
      <c r="C70" s="8" t="s">
        <v>275</v>
      </c>
      <c r="D70" s="8" t="s">
        <v>265</v>
      </c>
      <c r="E70" s="8" t="s">
        <v>266</v>
      </c>
      <c r="F70" s="8" t="s">
        <v>275</v>
      </c>
      <c r="G70" s="6">
        <f t="shared" si="1"/>
        <v>9030</v>
      </c>
      <c r="H70" s="6">
        <f t="shared" si="1"/>
        <v>9683</v>
      </c>
    </row>
    <row r="71" spans="1:8" x14ac:dyDescent="0.2">
      <c r="A71" s="8">
        <v>14</v>
      </c>
      <c r="B71" s="8" t="s">
        <v>273</v>
      </c>
      <c r="C71" s="8" t="s">
        <v>6</v>
      </c>
      <c r="D71" s="8" t="s">
        <v>267</v>
      </c>
      <c r="E71" s="8" t="s">
        <v>268</v>
      </c>
      <c r="F71" s="8" t="s">
        <v>283</v>
      </c>
      <c r="G71" s="6">
        <f t="shared" si="1"/>
        <v>9743</v>
      </c>
      <c r="H71" s="6">
        <f t="shared" si="1"/>
        <v>10642</v>
      </c>
    </row>
    <row r="72" spans="1:8" x14ac:dyDescent="0.2">
      <c r="A72" s="8">
        <v>1</v>
      </c>
      <c r="B72" s="8" t="s">
        <v>276</v>
      </c>
      <c r="C72" s="8" t="s">
        <v>274</v>
      </c>
      <c r="D72" s="8" t="s">
        <v>239</v>
      </c>
      <c r="E72" s="8" t="s">
        <v>240</v>
      </c>
      <c r="F72" s="8" t="s">
        <v>274</v>
      </c>
      <c r="G72" s="6">
        <f t="shared" si="1"/>
        <v>186</v>
      </c>
      <c r="H72" s="6">
        <f t="shared" si="1"/>
        <v>846</v>
      </c>
    </row>
    <row r="73" spans="1:8" x14ac:dyDescent="0.2">
      <c r="A73" s="8">
        <v>2</v>
      </c>
      <c r="B73" s="8" t="s">
        <v>276</v>
      </c>
      <c r="C73" s="8" t="s">
        <v>275</v>
      </c>
      <c r="D73" s="8" t="s">
        <v>242</v>
      </c>
      <c r="E73" s="8" t="s">
        <v>243</v>
      </c>
      <c r="F73" s="8" t="s">
        <v>275</v>
      </c>
      <c r="G73" s="6">
        <f t="shared" si="1"/>
        <v>906</v>
      </c>
      <c r="H73" s="6">
        <f t="shared" si="1"/>
        <v>1560</v>
      </c>
    </row>
    <row r="74" spans="1:8" x14ac:dyDescent="0.2">
      <c r="A74" s="8">
        <v>3</v>
      </c>
      <c r="B74" s="8" t="s">
        <v>276</v>
      </c>
      <c r="C74" s="8" t="s">
        <v>274</v>
      </c>
      <c r="D74" s="8" t="s">
        <v>245</v>
      </c>
      <c r="E74" s="8" t="s">
        <v>246</v>
      </c>
      <c r="F74" s="8" t="s">
        <v>274</v>
      </c>
      <c r="G74" s="6">
        <f t="shared" si="1"/>
        <v>1620</v>
      </c>
      <c r="H74" s="6">
        <f t="shared" si="1"/>
        <v>2273</v>
      </c>
    </row>
    <row r="75" spans="1:8" x14ac:dyDescent="0.2">
      <c r="A75" s="8">
        <v>4</v>
      </c>
      <c r="B75" s="8" t="s">
        <v>276</v>
      </c>
      <c r="C75" s="8" t="s">
        <v>275</v>
      </c>
      <c r="D75" s="8" t="s">
        <v>247</v>
      </c>
      <c r="E75" s="8" t="s">
        <v>248</v>
      </c>
      <c r="F75" s="8" t="s">
        <v>275</v>
      </c>
      <c r="G75" s="6">
        <f t="shared" si="1"/>
        <v>2333</v>
      </c>
      <c r="H75" s="6">
        <f t="shared" si="1"/>
        <v>2986</v>
      </c>
    </row>
    <row r="76" spans="1:8" x14ac:dyDescent="0.2">
      <c r="A76" s="8">
        <v>5</v>
      </c>
      <c r="B76" s="8" t="s">
        <v>276</v>
      </c>
      <c r="C76" s="8" t="s">
        <v>274</v>
      </c>
      <c r="D76" s="8" t="s">
        <v>249</v>
      </c>
      <c r="E76" s="8" t="s">
        <v>250</v>
      </c>
      <c r="F76" s="8" t="s">
        <v>274</v>
      </c>
      <c r="G76" s="6">
        <f t="shared" si="1"/>
        <v>3047</v>
      </c>
      <c r="H76" s="6">
        <f t="shared" si="1"/>
        <v>3700</v>
      </c>
    </row>
    <row r="77" spans="1:8" x14ac:dyDescent="0.2">
      <c r="A77" s="8">
        <v>6</v>
      </c>
      <c r="B77" s="8" t="s">
        <v>276</v>
      </c>
      <c r="C77" s="8" t="s">
        <v>275</v>
      </c>
      <c r="D77" s="8" t="s">
        <v>251</v>
      </c>
      <c r="E77" s="8" t="s">
        <v>252</v>
      </c>
      <c r="F77" s="8" t="s">
        <v>275</v>
      </c>
      <c r="G77" s="6">
        <f t="shared" si="1"/>
        <v>3760</v>
      </c>
      <c r="H77" s="6">
        <f t="shared" si="1"/>
        <v>4413</v>
      </c>
    </row>
    <row r="78" spans="1:8" x14ac:dyDescent="0.2">
      <c r="A78" s="8">
        <v>7</v>
      </c>
      <c r="B78" s="8" t="s">
        <v>276</v>
      </c>
      <c r="C78" s="8" t="s">
        <v>6</v>
      </c>
      <c r="D78" s="8" t="s">
        <v>253</v>
      </c>
      <c r="E78" s="8" t="s">
        <v>254</v>
      </c>
      <c r="F78" s="8" t="s">
        <v>284</v>
      </c>
      <c r="G78" s="6">
        <f t="shared" si="1"/>
        <v>4473</v>
      </c>
      <c r="H78" s="6">
        <f t="shared" si="1"/>
        <v>5373</v>
      </c>
    </row>
    <row r="79" spans="1:8" x14ac:dyDescent="0.2">
      <c r="A79" s="8">
        <v>8</v>
      </c>
      <c r="B79" s="8" t="s">
        <v>276</v>
      </c>
      <c r="C79" s="8" t="s">
        <v>274</v>
      </c>
      <c r="D79" s="8" t="s">
        <v>255</v>
      </c>
      <c r="E79" s="8" t="s">
        <v>256</v>
      </c>
      <c r="F79" s="8" t="s">
        <v>274</v>
      </c>
      <c r="G79" s="6">
        <f t="shared" si="1"/>
        <v>5433</v>
      </c>
      <c r="H79" s="6">
        <f t="shared" si="1"/>
        <v>6117</v>
      </c>
    </row>
    <row r="80" spans="1:8" x14ac:dyDescent="0.2">
      <c r="A80" s="8">
        <v>9</v>
      </c>
      <c r="B80" s="8" t="s">
        <v>276</v>
      </c>
      <c r="C80" s="8" t="s">
        <v>275</v>
      </c>
      <c r="D80" s="8" t="s">
        <v>257</v>
      </c>
      <c r="E80" s="8" t="s">
        <v>258</v>
      </c>
      <c r="F80" s="8" t="s">
        <v>275</v>
      </c>
      <c r="G80" s="6">
        <f t="shared" si="1"/>
        <v>6177</v>
      </c>
      <c r="H80" s="6">
        <f t="shared" si="1"/>
        <v>6830</v>
      </c>
    </row>
    <row r="81" spans="1:8" x14ac:dyDescent="0.2">
      <c r="A81" s="8">
        <v>10</v>
      </c>
      <c r="B81" s="8" t="s">
        <v>276</v>
      </c>
      <c r="C81" s="8" t="s">
        <v>274</v>
      </c>
      <c r="D81" s="8" t="s">
        <v>259</v>
      </c>
      <c r="E81" s="8" t="s">
        <v>260</v>
      </c>
      <c r="F81" s="8" t="s">
        <v>274</v>
      </c>
      <c r="G81" s="6">
        <f t="shared" si="1"/>
        <v>6889</v>
      </c>
      <c r="H81" s="6">
        <f t="shared" si="1"/>
        <v>7543</v>
      </c>
    </row>
    <row r="82" spans="1:8" x14ac:dyDescent="0.2">
      <c r="A82" s="8">
        <v>11</v>
      </c>
      <c r="B82" s="8" t="s">
        <v>276</v>
      </c>
      <c r="C82" s="8" t="s">
        <v>275</v>
      </c>
      <c r="D82" s="8" t="s">
        <v>261</v>
      </c>
      <c r="E82" s="8" t="s">
        <v>262</v>
      </c>
      <c r="F82" s="8" t="s">
        <v>275</v>
      </c>
      <c r="G82" s="6">
        <f t="shared" si="1"/>
        <v>7603</v>
      </c>
      <c r="H82" s="6">
        <f t="shared" si="1"/>
        <v>8256</v>
      </c>
    </row>
    <row r="83" spans="1:8" x14ac:dyDescent="0.2">
      <c r="A83" s="8">
        <v>12</v>
      </c>
      <c r="B83" s="8" t="s">
        <v>276</v>
      </c>
      <c r="C83" s="8" t="s">
        <v>274</v>
      </c>
      <c r="D83" s="8" t="s">
        <v>263</v>
      </c>
      <c r="E83" s="8" t="s">
        <v>264</v>
      </c>
      <c r="F83" s="8" t="s">
        <v>274</v>
      </c>
      <c r="G83" s="6">
        <f t="shared" si="1"/>
        <v>8316</v>
      </c>
      <c r="H83" s="6">
        <f t="shared" si="1"/>
        <v>8969</v>
      </c>
    </row>
    <row r="84" spans="1:8" x14ac:dyDescent="0.2">
      <c r="A84" s="8">
        <v>13</v>
      </c>
      <c r="B84" s="8" t="s">
        <v>276</v>
      </c>
      <c r="C84" s="8" t="s">
        <v>275</v>
      </c>
      <c r="D84" s="8" t="s">
        <v>265</v>
      </c>
      <c r="E84" s="8" t="s">
        <v>266</v>
      </c>
      <c r="F84" s="8" t="s">
        <v>275</v>
      </c>
      <c r="G84" s="6">
        <f t="shared" si="1"/>
        <v>9030</v>
      </c>
      <c r="H84" s="6">
        <f t="shared" si="1"/>
        <v>9683</v>
      </c>
    </row>
    <row r="85" spans="1:8" x14ac:dyDescent="0.2">
      <c r="A85" s="8">
        <v>14</v>
      </c>
      <c r="B85" s="8" t="s">
        <v>276</v>
      </c>
      <c r="C85" s="8" t="s">
        <v>5</v>
      </c>
      <c r="D85" s="8" t="s">
        <v>267</v>
      </c>
      <c r="E85" s="8" t="s">
        <v>268</v>
      </c>
      <c r="F85" s="8" t="s">
        <v>280</v>
      </c>
      <c r="G85" s="6">
        <f t="shared" si="1"/>
        <v>9743</v>
      </c>
      <c r="H85" s="6">
        <f t="shared" si="1"/>
        <v>10642</v>
      </c>
    </row>
    <row r="86" spans="1:8" x14ac:dyDescent="0.2">
      <c r="A86" s="8">
        <v>1</v>
      </c>
      <c r="B86" s="8" t="s">
        <v>277</v>
      </c>
      <c r="C86" s="8" t="s">
        <v>275</v>
      </c>
      <c r="D86" s="8" t="s">
        <v>239</v>
      </c>
      <c r="E86" s="8" t="s">
        <v>240</v>
      </c>
      <c r="F86" s="8" t="s">
        <v>275</v>
      </c>
      <c r="G86" s="6">
        <f t="shared" si="1"/>
        <v>186</v>
      </c>
      <c r="H86" s="6">
        <f t="shared" si="1"/>
        <v>846</v>
      </c>
    </row>
    <row r="87" spans="1:8" x14ac:dyDescent="0.2">
      <c r="A87" s="8">
        <v>2</v>
      </c>
      <c r="B87" s="8" t="s">
        <v>277</v>
      </c>
      <c r="C87" s="8" t="s">
        <v>274</v>
      </c>
      <c r="D87" s="8" t="s">
        <v>242</v>
      </c>
      <c r="E87" s="8" t="s">
        <v>243</v>
      </c>
      <c r="F87" s="8" t="s">
        <v>274</v>
      </c>
      <c r="G87" s="6">
        <f t="shared" si="1"/>
        <v>906</v>
      </c>
      <c r="H87" s="6">
        <f t="shared" si="1"/>
        <v>1560</v>
      </c>
    </row>
    <row r="88" spans="1:8" x14ac:dyDescent="0.2">
      <c r="A88" s="8">
        <v>3</v>
      </c>
      <c r="B88" s="8" t="s">
        <v>277</v>
      </c>
      <c r="C88" s="8" t="s">
        <v>275</v>
      </c>
      <c r="D88" s="8" t="s">
        <v>245</v>
      </c>
      <c r="E88" s="8" t="s">
        <v>246</v>
      </c>
      <c r="F88" s="8" t="s">
        <v>275</v>
      </c>
      <c r="G88" s="6">
        <f t="shared" si="1"/>
        <v>1620</v>
      </c>
      <c r="H88" s="6">
        <f t="shared" si="1"/>
        <v>2273</v>
      </c>
    </row>
    <row r="89" spans="1:8" x14ac:dyDescent="0.2">
      <c r="A89" s="8">
        <v>4</v>
      </c>
      <c r="B89" s="8" t="s">
        <v>277</v>
      </c>
      <c r="C89" s="8" t="s">
        <v>274</v>
      </c>
      <c r="D89" s="8" t="s">
        <v>247</v>
      </c>
      <c r="E89" s="8" t="s">
        <v>248</v>
      </c>
      <c r="F89" s="8" t="s">
        <v>274</v>
      </c>
      <c r="G89" s="6">
        <f t="shared" si="1"/>
        <v>2333</v>
      </c>
      <c r="H89" s="6">
        <f t="shared" si="1"/>
        <v>2986</v>
      </c>
    </row>
    <row r="90" spans="1:8" x14ac:dyDescent="0.2">
      <c r="A90" s="8">
        <v>5</v>
      </c>
      <c r="B90" s="8" t="s">
        <v>277</v>
      </c>
      <c r="C90" s="8" t="s">
        <v>275</v>
      </c>
      <c r="D90" s="8" t="s">
        <v>249</v>
      </c>
      <c r="E90" s="8" t="s">
        <v>250</v>
      </c>
      <c r="F90" s="8" t="s">
        <v>275</v>
      </c>
      <c r="G90" s="6">
        <f t="shared" si="1"/>
        <v>3047</v>
      </c>
      <c r="H90" s="6">
        <f t="shared" si="1"/>
        <v>3700</v>
      </c>
    </row>
    <row r="91" spans="1:8" x14ac:dyDescent="0.2">
      <c r="A91" s="8">
        <v>6</v>
      </c>
      <c r="B91" s="8" t="s">
        <v>277</v>
      </c>
      <c r="C91" s="8" t="s">
        <v>274</v>
      </c>
      <c r="D91" s="8" t="s">
        <v>251</v>
      </c>
      <c r="E91" s="8" t="s">
        <v>252</v>
      </c>
      <c r="F91" s="8" t="s">
        <v>274</v>
      </c>
      <c r="G91" s="6">
        <f t="shared" si="1"/>
        <v>3760</v>
      </c>
      <c r="H91" s="6">
        <f t="shared" si="1"/>
        <v>4413</v>
      </c>
    </row>
    <row r="92" spans="1:8" x14ac:dyDescent="0.2">
      <c r="A92" s="8">
        <v>7</v>
      </c>
      <c r="B92" s="8" t="s">
        <v>277</v>
      </c>
      <c r="C92" s="8" t="s">
        <v>5</v>
      </c>
      <c r="D92" s="8" t="s">
        <v>253</v>
      </c>
      <c r="E92" s="8" t="s">
        <v>254</v>
      </c>
      <c r="F92" s="8" t="s">
        <v>285</v>
      </c>
      <c r="G92" s="6">
        <f t="shared" si="1"/>
        <v>4473</v>
      </c>
      <c r="H92" s="6">
        <f t="shared" si="1"/>
        <v>5373</v>
      </c>
    </row>
    <row r="93" spans="1:8" x14ac:dyDescent="0.2">
      <c r="A93" s="8">
        <v>8</v>
      </c>
      <c r="B93" s="8" t="s">
        <v>277</v>
      </c>
      <c r="C93" s="8" t="s">
        <v>275</v>
      </c>
      <c r="D93" s="8" t="s">
        <v>255</v>
      </c>
      <c r="E93" s="8" t="s">
        <v>256</v>
      </c>
      <c r="F93" s="8" t="s">
        <v>275</v>
      </c>
      <c r="G93" s="6">
        <f t="shared" si="1"/>
        <v>5433</v>
      </c>
      <c r="H93" s="6">
        <f t="shared" si="1"/>
        <v>6117</v>
      </c>
    </row>
    <row r="94" spans="1:8" x14ac:dyDescent="0.2">
      <c r="A94" s="8">
        <v>9</v>
      </c>
      <c r="B94" s="8" t="s">
        <v>277</v>
      </c>
      <c r="C94" s="8" t="s">
        <v>274</v>
      </c>
      <c r="D94" s="8" t="s">
        <v>257</v>
      </c>
      <c r="E94" s="8" t="s">
        <v>258</v>
      </c>
      <c r="F94" s="8" t="s">
        <v>274</v>
      </c>
      <c r="G94" s="6">
        <f t="shared" si="1"/>
        <v>6177</v>
      </c>
      <c r="H94" s="6">
        <f t="shared" si="1"/>
        <v>6830</v>
      </c>
    </row>
    <row r="95" spans="1:8" x14ac:dyDescent="0.2">
      <c r="A95" s="8">
        <v>10</v>
      </c>
      <c r="B95" s="8" t="s">
        <v>277</v>
      </c>
      <c r="C95" s="8" t="s">
        <v>275</v>
      </c>
      <c r="D95" s="8" t="s">
        <v>259</v>
      </c>
      <c r="E95" s="8" t="s">
        <v>260</v>
      </c>
      <c r="F95" s="8" t="s">
        <v>275</v>
      </c>
      <c r="G95" s="6">
        <f t="shared" si="1"/>
        <v>6889</v>
      </c>
      <c r="H95" s="6">
        <f t="shared" si="1"/>
        <v>7543</v>
      </c>
    </row>
    <row r="96" spans="1:8" x14ac:dyDescent="0.2">
      <c r="A96" s="8">
        <v>11</v>
      </c>
      <c r="B96" s="8" t="s">
        <v>277</v>
      </c>
      <c r="C96" s="8" t="s">
        <v>274</v>
      </c>
      <c r="D96" s="8" t="s">
        <v>261</v>
      </c>
      <c r="E96" s="8" t="s">
        <v>262</v>
      </c>
      <c r="F96" s="8" t="s">
        <v>274</v>
      </c>
      <c r="G96" s="6">
        <f t="shared" si="1"/>
        <v>7603</v>
      </c>
      <c r="H96" s="6">
        <f t="shared" si="1"/>
        <v>8256</v>
      </c>
    </row>
    <row r="97" spans="1:8" x14ac:dyDescent="0.2">
      <c r="A97" s="8">
        <v>12</v>
      </c>
      <c r="B97" s="8" t="s">
        <v>277</v>
      </c>
      <c r="C97" s="8" t="s">
        <v>275</v>
      </c>
      <c r="D97" s="8" t="s">
        <v>263</v>
      </c>
      <c r="E97" s="8" t="s">
        <v>264</v>
      </c>
      <c r="F97" s="8" t="s">
        <v>275</v>
      </c>
      <c r="G97" s="6">
        <f t="shared" si="1"/>
        <v>8316</v>
      </c>
      <c r="H97" s="6">
        <f t="shared" si="1"/>
        <v>8969</v>
      </c>
    </row>
    <row r="98" spans="1:8" x14ac:dyDescent="0.2">
      <c r="A98" s="8">
        <v>13</v>
      </c>
      <c r="B98" s="8" t="s">
        <v>277</v>
      </c>
      <c r="C98" s="8" t="s">
        <v>274</v>
      </c>
      <c r="D98" s="8" t="s">
        <v>265</v>
      </c>
      <c r="E98" s="8" t="s">
        <v>266</v>
      </c>
      <c r="F98" s="8" t="s">
        <v>274</v>
      </c>
      <c r="G98" s="6">
        <f t="shared" si="1"/>
        <v>9030</v>
      </c>
      <c r="H98" s="6">
        <f t="shared" si="1"/>
        <v>9683</v>
      </c>
    </row>
    <row r="99" spans="1:8" x14ac:dyDescent="0.2">
      <c r="A99" s="8">
        <v>14</v>
      </c>
      <c r="B99" s="8" t="s">
        <v>277</v>
      </c>
      <c r="C99" s="8" t="s">
        <v>6</v>
      </c>
      <c r="D99" s="8" t="s">
        <v>267</v>
      </c>
      <c r="E99" s="8" t="s">
        <v>268</v>
      </c>
      <c r="F99" s="8" t="s">
        <v>281</v>
      </c>
      <c r="G99" s="6">
        <f t="shared" si="1"/>
        <v>9743</v>
      </c>
      <c r="H99" s="6">
        <f t="shared" si="1"/>
        <v>10642</v>
      </c>
    </row>
    <row r="100" spans="1:8" x14ac:dyDescent="0.2">
      <c r="A100" s="8">
        <v>1</v>
      </c>
      <c r="B100" s="8" t="s">
        <v>278</v>
      </c>
      <c r="C100" s="8" t="s">
        <v>275</v>
      </c>
      <c r="D100" s="8" t="s">
        <v>239</v>
      </c>
      <c r="E100" s="8" t="s">
        <v>240</v>
      </c>
      <c r="F100" s="8" t="s">
        <v>275</v>
      </c>
      <c r="G100" s="6">
        <f t="shared" si="1"/>
        <v>186</v>
      </c>
      <c r="H100" s="6">
        <f t="shared" si="1"/>
        <v>846</v>
      </c>
    </row>
    <row r="101" spans="1:8" x14ac:dyDescent="0.2">
      <c r="A101" s="8">
        <v>2</v>
      </c>
      <c r="B101" s="8" t="s">
        <v>278</v>
      </c>
      <c r="C101" s="8" t="s">
        <v>274</v>
      </c>
      <c r="D101" s="8" t="s">
        <v>242</v>
      </c>
      <c r="E101" s="8" t="s">
        <v>243</v>
      </c>
      <c r="F101" s="8" t="s">
        <v>274</v>
      </c>
      <c r="G101" s="6">
        <f t="shared" si="1"/>
        <v>906</v>
      </c>
      <c r="H101" s="6">
        <f t="shared" si="1"/>
        <v>1560</v>
      </c>
    </row>
    <row r="102" spans="1:8" x14ac:dyDescent="0.2">
      <c r="A102" s="8">
        <v>3</v>
      </c>
      <c r="B102" s="8" t="s">
        <v>278</v>
      </c>
      <c r="C102" s="8" t="s">
        <v>275</v>
      </c>
      <c r="D102" s="8" t="s">
        <v>245</v>
      </c>
      <c r="E102" s="8" t="s">
        <v>246</v>
      </c>
      <c r="F102" s="8" t="s">
        <v>275</v>
      </c>
      <c r="G102" s="6">
        <f t="shared" si="1"/>
        <v>1620</v>
      </c>
      <c r="H102" s="6">
        <f t="shared" si="1"/>
        <v>2273</v>
      </c>
    </row>
    <row r="103" spans="1:8" x14ac:dyDescent="0.2">
      <c r="A103" s="8">
        <v>4</v>
      </c>
      <c r="B103" s="8" t="s">
        <v>278</v>
      </c>
      <c r="C103" s="8" t="s">
        <v>274</v>
      </c>
      <c r="D103" s="8" t="s">
        <v>247</v>
      </c>
      <c r="E103" s="8" t="s">
        <v>248</v>
      </c>
      <c r="F103" s="8" t="s">
        <v>274</v>
      </c>
      <c r="G103" s="6">
        <f t="shared" si="1"/>
        <v>2333</v>
      </c>
      <c r="H103" s="6">
        <f t="shared" si="1"/>
        <v>2986</v>
      </c>
    </row>
    <row r="104" spans="1:8" x14ac:dyDescent="0.2">
      <c r="A104" s="8">
        <v>5</v>
      </c>
      <c r="B104" s="8" t="s">
        <v>278</v>
      </c>
      <c r="C104" s="8" t="s">
        <v>275</v>
      </c>
      <c r="D104" s="8" t="s">
        <v>249</v>
      </c>
      <c r="E104" s="8" t="s">
        <v>250</v>
      </c>
      <c r="F104" s="8" t="s">
        <v>275</v>
      </c>
      <c r="G104" s="6">
        <f t="shared" si="1"/>
        <v>3047</v>
      </c>
      <c r="H104" s="6">
        <f t="shared" si="1"/>
        <v>3700</v>
      </c>
    </row>
    <row r="105" spans="1:8" x14ac:dyDescent="0.2">
      <c r="A105" s="8">
        <v>6</v>
      </c>
      <c r="B105" s="8" t="s">
        <v>278</v>
      </c>
      <c r="C105" s="8" t="s">
        <v>274</v>
      </c>
      <c r="D105" s="8" t="s">
        <v>251</v>
      </c>
      <c r="E105" s="8" t="s">
        <v>252</v>
      </c>
      <c r="F105" s="8" t="s">
        <v>274</v>
      </c>
      <c r="G105" s="6">
        <f t="shared" si="1"/>
        <v>3760</v>
      </c>
      <c r="H105" s="6">
        <f t="shared" si="1"/>
        <v>4413</v>
      </c>
    </row>
    <row r="106" spans="1:8" x14ac:dyDescent="0.2">
      <c r="A106" s="8">
        <v>7</v>
      </c>
      <c r="B106" s="8" t="s">
        <v>278</v>
      </c>
      <c r="C106" s="8" t="s">
        <v>6</v>
      </c>
      <c r="D106" s="8" t="s">
        <v>253</v>
      </c>
      <c r="E106" s="8" t="s">
        <v>254</v>
      </c>
      <c r="F106" s="8" t="s">
        <v>284</v>
      </c>
      <c r="G106" s="6">
        <f t="shared" si="1"/>
        <v>4473</v>
      </c>
      <c r="H106" s="6">
        <f t="shared" si="1"/>
        <v>5373</v>
      </c>
    </row>
    <row r="107" spans="1:8" x14ac:dyDescent="0.2">
      <c r="A107" s="8">
        <v>8</v>
      </c>
      <c r="B107" s="8" t="s">
        <v>278</v>
      </c>
      <c r="C107" s="8" t="s">
        <v>275</v>
      </c>
      <c r="D107" s="8" t="s">
        <v>255</v>
      </c>
      <c r="E107" s="8" t="s">
        <v>256</v>
      </c>
      <c r="F107" s="8" t="s">
        <v>275</v>
      </c>
      <c r="G107" s="6">
        <f t="shared" si="1"/>
        <v>5433</v>
      </c>
      <c r="H107" s="6">
        <f t="shared" si="1"/>
        <v>6117</v>
      </c>
    </row>
    <row r="108" spans="1:8" x14ac:dyDescent="0.2">
      <c r="A108" s="8">
        <v>9</v>
      </c>
      <c r="B108" s="8" t="s">
        <v>278</v>
      </c>
      <c r="C108" s="8" t="s">
        <v>274</v>
      </c>
      <c r="D108" s="8" t="s">
        <v>257</v>
      </c>
      <c r="E108" s="8" t="s">
        <v>258</v>
      </c>
      <c r="F108" s="8" t="s">
        <v>274</v>
      </c>
      <c r="G108" s="6">
        <f t="shared" si="1"/>
        <v>6177</v>
      </c>
      <c r="H108" s="6">
        <f t="shared" si="1"/>
        <v>6830</v>
      </c>
    </row>
    <row r="109" spans="1:8" x14ac:dyDescent="0.2">
      <c r="A109" s="8">
        <v>10</v>
      </c>
      <c r="B109" s="8" t="s">
        <v>278</v>
      </c>
      <c r="C109" s="8" t="s">
        <v>275</v>
      </c>
      <c r="D109" s="8" t="s">
        <v>259</v>
      </c>
      <c r="E109" s="8" t="s">
        <v>260</v>
      </c>
      <c r="F109" s="8" t="s">
        <v>275</v>
      </c>
      <c r="G109" s="6">
        <f t="shared" si="1"/>
        <v>6889</v>
      </c>
      <c r="H109" s="6">
        <f t="shared" si="1"/>
        <v>7543</v>
      </c>
    </row>
    <row r="110" spans="1:8" x14ac:dyDescent="0.2">
      <c r="A110" s="8">
        <v>11</v>
      </c>
      <c r="B110" s="8" t="s">
        <v>278</v>
      </c>
      <c r="C110" s="8" t="s">
        <v>274</v>
      </c>
      <c r="D110" s="8" t="s">
        <v>261</v>
      </c>
      <c r="E110" s="8" t="s">
        <v>262</v>
      </c>
      <c r="F110" s="8" t="s">
        <v>274</v>
      </c>
      <c r="G110" s="6">
        <f t="shared" si="1"/>
        <v>7603</v>
      </c>
      <c r="H110" s="6">
        <f t="shared" si="1"/>
        <v>8256</v>
      </c>
    </row>
    <row r="111" spans="1:8" x14ac:dyDescent="0.2">
      <c r="A111" s="8">
        <v>12</v>
      </c>
      <c r="B111" s="8" t="s">
        <v>278</v>
      </c>
      <c r="C111" s="8" t="s">
        <v>275</v>
      </c>
      <c r="D111" s="8" t="s">
        <v>263</v>
      </c>
      <c r="E111" s="8" t="s">
        <v>264</v>
      </c>
      <c r="F111" s="8" t="s">
        <v>275</v>
      </c>
      <c r="G111" s="6">
        <f t="shared" si="1"/>
        <v>8316</v>
      </c>
      <c r="H111" s="6">
        <f t="shared" si="1"/>
        <v>8969</v>
      </c>
    </row>
    <row r="112" spans="1:8" x14ac:dyDescent="0.2">
      <c r="A112" s="8">
        <v>13</v>
      </c>
      <c r="B112" s="8" t="s">
        <v>278</v>
      </c>
      <c r="C112" s="8" t="s">
        <v>274</v>
      </c>
      <c r="D112" s="8" t="s">
        <v>265</v>
      </c>
      <c r="E112" s="8" t="s">
        <v>266</v>
      </c>
      <c r="F112" s="8" t="s">
        <v>274</v>
      </c>
      <c r="G112" s="6">
        <f t="shared" si="1"/>
        <v>9030</v>
      </c>
      <c r="H112" s="6">
        <f t="shared" si="1"/>
        <v>9683</v>
      </c>
    </row>
    <row r="113" spans="1:8" x14ac:dyDescent="0.2">
      <c r="A113" s="8">
        <v>14</v>
      </c>
      <c r="B113" s="8" t="s">
        <v>278</v>
      </c>
      <c r="C113" s="8" t="s">
        <v>5</v>
      </c>
      <c r="D113" s="8" t="s">
        <v>267</v>
      </c>
      <c r="E113" s="8" t="s">
        <v>268</v>
      </c>
      <c r="F113" s="8" t="s">
        <v>280</v>
      </c>
      <c r="G113" s="6">
        <f t="shared" si="1"/>
        <v>9743</v>
      </c>
      <c r="H113" s="6">
        <f t="shared" si="1"/>
        <v>10642</v>
      </c>
    </row>
    <row r="114" spans="1:8" x14ac:dyDescent="0.2">
      <c r="B1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0d6bb4-bf93-46e5-af3e-76fbe0d2898f">
      <Terms xmlns="http://schemas.microsoft.com/office/infopath/2007/PartnerControls"/>
    </lcf76f155ced4ddcb4097134ff3c332f>
    <TaxCatchAll xmlns="897aa84e-6803-47c8-b68c-17d5fde4eb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E30F29BC98549A6C45B45271C5A83" ma:contentTypeVersion="19" ma:contentTypeDescription="Create a new document." ma:contentTypeScope="" ma:versionID="70fc1eee7aebc44ac40704a4c778e204">
  <xsd:schema xmlns:xsd="http://www.w3.org/2001/XMLSchema" xmlns:xs="http://www.w3.org/2001/XMLSchema" xmlns:p="http://schemas.microsoft.com/office/2006/metadata/properties" xmlns:ns2="6c0d6bb4-bf93-46e5-af3e-76fbe0d2898f" xmlns:ns3="cb5fc986-ca15-48a6-9872-3e00e06f3290" xmlns:ns4="897aa84e-6803-47c8-b68c-17d5fde4eba2" targetNamespace="http://schemas.microsoft.com/office/2006/metadata/properties" ma:root="true" ma:fieldsID="84c483e3029d41a0188f1887cde70bc3" ns2:_="" ns3:_="" ns4:_="">
    <xsd:import namespace="6c0d6bb4-bf93-46e5-af3e-76fbe0d2898f"/>
    <xsd:import namespace="cb5fc986-ca15-48a6-9872-3e00e06f3290"/>
    <xsd:import namespace="897aa84e-6803-47c8-b68c-17d5fde4eb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d6bb4-bf93-46e5-af3e-76fbe0d28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afcf722-d957-4ce2-9463-9335911b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fc986-ca15-48a6-9872-3e00e06f329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aa84e-6803-47c8-b68c-17d5fde4eba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a91f79d-9b7f-4c4f-a352-6ae9e3603ee0}" ma:internalName="TaxCatchAll" ma:showField="CatchAllData" ma:web="cb5fc986-ca15-48a6-9872-3e00e06f32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30D68A-F459-44B9-B55A-08A4C6EDF8D4}">
  <ds:schemaRefs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897aa84e-6803-47c8-b68c-17d5fde4eba2"/>
    <ds:schemaRef ds:uri="cb5fc986-ca15-48a6-9872-3e00e06f3290"/>
    <ds:schemaRef ds:uri="6c0d6bb4-bf93-46e5-af3e-76fbe0d2898f"/>
  </ds:schemaRefs>
</ds:datastoreItem>
</file>

<file path=customXml/itemProps2.xml><?xml version="1.0" encoding="utf-8"?>
<ds:datastoreItem xmlns:ds="http://schemas.openxmlformats.org/officeDocument/2006/customXml" ds:itemID="{B0CDED83-EA4E-4F36-A05F-0665C2CE9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8C1EA4-A689-4448-B5CD-185A3AA72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0d6bb4-bf93-46e5-af3e-76fbe0d2898f"/>
    <ds:schemaRef ds:uri="cb5fc986-ca15-48a6-9872-3e00e06f3290"/>
    <ds:schemaRef ds:uri="897aa84e-6803-47c8-b68c-17d5fde4eb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GeoSocial</vt:lpstr>
      <vt:lpstr>AVSynch</vt:lpstr>
      <vt:lpstr>Prediction</vt:lpstr>
      <vt:lpstr>VPC</vt:lpstr>
      <vt:lpstr>WordRecognition</vt:lpstr>
      <vt:lpstr>WordRecognition_Timecourse</vt:lpstr>
      <vt:lpstr>Numeracy</vt:lpstr>
      <vt:lpstr>HelperHinderer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Vu, My</dc:creator>
  <cp:lastModifiedBy>Kristen Gilyard</cp:lastModifiedBy>
  <dcterms:created xsi:type="dcterms:W3CDTF">2026-03-24T18:49:04Z</dcterms:created>
  <dcterms:modified xsi:type="dcterms:W3CDTF">2026-07-21T04:42:11Z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0x0101001AAE30F29BC98549A6C45B45271C5A83</vt:lpwstr>
  </property>
</Properties>
</file>